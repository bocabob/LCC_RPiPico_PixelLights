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Trains\Electronic Projects\PicoCAN\"/>
    </mc:Choice>
  </mc:AlternateContent>
  <xr:revisionPtr revIDLastSave="0" documentId="13_ncr:1_{24786B67-9F12-4D0D-A950-BF1D604D1D4B}" xr6:coauthVersionLast="47" xr6:coauthVersionMax="47" xr10:uidLastSave="{00000000-0000-0000-0000-000000000000}"/>
  <bookViews>
    <workbookView xWindow="2916" yWindow="2316" windowWidth="36396" windowHeight="22728" activeTab="3" xr2:uid="{D8A17D18-91F1-4815-8D28-D485BB85E5F7}"/>
  </bookViews>
  <sheets>
    <sheet name="LCC-Pico-Stepper_v2_4" sheetId="1" r:id="rId1"/>
    <sheet name="LCC-Pico-Stepper_v2_4B" sheetId="2" r:id="rId2"/>
    <sheet name="LCC-Pico-Stepper_v2_4C" sheetId="3" r:id="rId3"/>
    <sheet name="Stock" sheetId="4" r:id="rId4"/>
  </sheets>
  <calcPr calcId="181029"/>
</workbook>
</file>

<file path=xl/calcChain.xml><?xml version="1.0" encoding="utf-8"?>
<calcChain xmlns="http://schemas.openxmlformats.org/spreadsheetml/2006/main">
  <c r="L13" i="1" l="1"/>
  <c r="L15" i="1"/>
  <c r="L30" i="1"/>
  <c r="L31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K14" i="1"/>
  <c r="L14" i="1" s="1"/>
  <c r="K15" i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K31" i="1"/>
  <c r="K32" i="1"/>
  <c r="L32" i="1" s="1"/>
  <c r="K33" i="1"/>
  <c r="L33" i="1" s="1"/>
  <c r="K2" i="1"/>
  <c r="L2" i="1" s="1"/>
  <c r="E8" i="2"/>
  <c r="E6" i="2"/>
  <c r="E3" i="2"/>
  <c r="E4" i="2"/>
  <c r="E5" i="2"/>
  <c r="E7" i="2"/>
  <c r="E10" i="2"/>
  <c r="E9" i="2"/>
  <c r="E11" i="2"/>
  <c r="E12" i="2"/>
  <c r="E15" i="2"/>
  <c r="E14" i="2"/>
  <c r="E13" i="2"/>
  <c r="E16" i="2"/>
  <c r="E17" i="2"/>
  <c r="E18" i="2"/>
  <c r="E19" i="2"/>
  <c r="E21" i="2"/>
  <c r="E22" i="2"/>
  <c r="E27" i="2"/>
  <c r="E24" i="2"/>
  <c r="E28" i="2"/>
  <c r="E25" i="2"/>
  <c r="E20" i="2"/>
  <c r="E23" i="2"/>
  <c r="E26" i="2"/>
  <c r="E31" i="2"/>
  <c r="E29" i="2"/>
  <c r="E30" i="2"/>
  <c r="E32" i="2"/>
  <c r="E33" i="2"/>
  <c r="E52" i="2"/>
  <c r="E42" i="2"/>
  <c r="E46" i="2"/>
  <c r="E39" i="2"/>
  <c r="E43" i="2"/>
  <c r="E41" i="2"/>
  <c r="E40" i="2"/>
  <c r="E54" i="2"/>
  <c r="E45" i="2"/>
  <c r="E35" i="2"/>
  <c r="E34" i="2"/>
  <c r="E38" i="2"/>
  <c r="E53" i="2"/>
  <c r="E37" i="2"/>
  <c r="E44" i="2"/>
  <c r="E49" i="2"/>
  <c r="E51" i="2"/>
  <c r="E48" i="2"/>
  <c r="E50" i="2"/>
  <c r="E47" i="2"/>
  <c r="E55" i="2"/>
  <c r="E36" i="2"/>
  <c r="E56" i="2"/>
  <c r="E57" i="2"/>
  <c r="E58" i="2"/>
  <c r="E7" i="3"/>
  <c r="E5" i="3"/>
  <c r="E3" i="3"/>
  <c r="E4" i="3"/>
  <c r="E6" i="3"/>
  <c r="E9" i="3"/>
  <c r="E8" i="3"/>
  <c r="E10" i="3"/>
  <c r="E11" i="3"/>
  <c r="E14" i="3"/>
  <c r="E13" i="3"/>
  <c r="E12" i="3"/>
  <c r="E15" i="3"/>
  <c r="E16" i="3"/>
  <c r="E17" i="3"/>
  <c r="E19" i="3"/>
  <c r="E20" i="3"/>
  <c r="E25" i="3"/>
  <c r="E22" i="3"/>
  <c r="E26" i="3"/>
  <c r="E23" i="3"/>
  <c r="E18" i="3"/>
  <c r="E21" i="3"/>
  <c r="E24" i="3"/>
  <c r="E29" i="3"/>
  <c r="E27" i="3"/>
  <c r="E28" i="3"/>
  <c r="E30" i="3"/>
  <c r="E50" i="3"/>
  <c r="E49" i="3"/>
  <c r="E39" i="3"/>
  <c r="E43" i="3"/>
  <c r="E36" i="3"/>
  <c r="E40" i="3"/>
  <c r="E38" i="3"/>
  <c r="E37" i="3"/>
  <c r="E52" i="3"/>
  <c r="E42" i="3"/>
  <c r="E32" i="3"/>
  <c r="E31" i="3"/>
  <c r="E35" i="3"/>
  <c r="E51" i="3"/>
  <c r="E34" i="3"/>
  <c r="E41" i="3"/>
  <c r="E46" i="3"/>
  <c r="E48" i="3"/>
  <c r="E45" i="3"/>
  <c r="E47" i="3"/>
  <c r="E44" i="3"/>
  <c r="E53" i="3"/>
  <c r="E33" i="3"/>
  <c r="E54" i="3"/>
  <c r="E55" i="3"/>
  <c r="E56" i="3"/>
  <c r="E2" i="3"/>
  <c r="E2" i="2"/>
  <c r="E12" i="1"/>
  <c r="E3" i="1"/>
  <c r="E21" i="1"/>
  <c r="E22" i="1"/>
  <c r="E4" i="1"/>
  <c r="E23" i="1"/>
  <c r="E5" i="1"/>
  <c r="E6" i="1"/>
  <c r="E24" i="1"/>
  <c r="E25" i="1"/>
  <c r="E7" i="1"/>
  <c r="E8" i="1"/>
  <c r="E26" i="1"/>
  <c r="E27" i="1"/>
  <c r="E28" i="1"/>
  <c r="E29" i="1"/>
  <c r="E33" i="1"/>
  <c r="E30" i="1"/>
  <c r="E20" i="1"/>
  <c r="E31" i="1"/>
  <c r="E9" i="1"/>
  <c r="E10" i="1"/>
  <c r="E13" i="1"/>
  <c r="E14" i="1"/>
  <c r="E32" i="1"/>
  <c r="E11" i="1"/>
  <c r="E17" i="1"/>
  <c r="E18" i="1"/>
  <c r="E19" i="1"/>
  <c r="E15" i="1"/>
  <c r="E16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4" i="1"/>
  <c r="E53" i="1"/>
  <c r="E57" i="1"/>
  <c r="E54" i="1"/>
  <c r="E58" i="1"/>
  <c r="E55" i="1"/>
  <c r="E59" i="1"/>
  <c r="E56" i="1"/>
  <c r="E2" i="1"/>
  <c r="L60" i="1" l="1"/>
</calcChain>
</file>

<file path=xl/sharedStrings.xml><?xml version="1.0" encoding="utf-8"?>
<sst xmlns="http://schemas.openxmlformats.org/spreadsheetml/2006/main" count="1053" uniqueCount="333">
  <si>
    <t>Reference</t>
  </si>
  <si>
    <t>Value</t>
  </si>
  <si>
    <t>Datasheet</t>
  </si>
  <si>
    <t>Footprint</t>
  </si>
  <si>
    <t>Qty</t>
  </si>
  <si>
    <t>DNP</t>
  </si>
  <si>
    <t>A1</t>
  </si>
  <si>
    <t>Pololu_A4988</t>
  </si>
  <si>
    <t>https://www.pololu.com/product/2980/pictures</t>
  </si>
  <si>
    <t>Module:Pololu_Breakout-16_15.2x20.3mm</t>
  </si>
  <si>
    <t>C1,C3</t>
  </si>
  <si>
    <t>0.1uF</t>
  </si>
  <si>
    <t>~</t>
  </si>
  <si>
    <t>Capacitor_SMD:C_1206_3216Metric_Pad1.33x1.80mm_HandSolder</t>
  </si>
  <si>
    <t>C2</t>
  </si>
  <si>
    <t>470uF</t>
  </si>
  <si>
    <t>Capacitor_THT:CP_Radial_D8.0mm_P3.50mm</t>
  </si>
  <si>
    <t>C4,C5,C8,C9,C10,C11,C12</t>
  </si>
  <si>
    <t>22uF</t>
  </si>
  <si>
    <t>C6,C15,C19</t>
  </si>
  <si>
    <t>100nF</t>
  </si>
  <si>
    <t>C7</t>
  </si>
  <si>
    <t>1uF</t>
  </si>
  <si>
    <t>C13,C14</t>
  </si>
  <si>
    <t>22pF</t>
  </si>
  <si>
    <t>C16</t>
  </si>
  <si>
    <t>4.7uF</t>
  </si>
  <si>
    <t>D2,D3,D9,D10</t>
  </si>
  <si>
    <t>M7</t>
  </si>
  <si>
    <t>SamacSys_Parts:DIOM5327X240N</t>
  </si>
  <si>
    <t>D4,D5,D7,D8</t>
  </si>
  <si>
    <t>LED</t>
  </si>
  <si>
    <t>LED_SMD:LED_1206_3216Metric_Pad1.42x1.75mm_HandSolder</t>
  </si>
  <si>
    <t>D6,D11</t>
  </si>
  <si>
    <t>PwrG</t>
  </si>
  <si>
    <t>F1,F2</t>
  </si>
  <si>
    <t>0ZCG0035AF2C</t>
  </si>
  <si>
    <t>https://www.mouser.com/datasheet/2/643/0ZCG_Nov2016-1132141.pdf</t>
  </si>
  <si>
    <t>SamacSys_Parts:FUSC4632X70N</t>
  </si>
  <si>
    <t>IC1</t>
  </si>
  <si>
    <t>TPS54294PWPR</t>
  </si>
  <si>
    <t>http://www.ti.com/lit/gpn/tps54294</t>
  </si>
  <si>
    <t>SamacSys_Parts:SOP65P640X120-17N</t>
  </si>
  <si>
    <t>IC2</t>
  </si>
  <si>
    <t>MCP2518FDT-E_SL</t>
  </si>
  <si>
    <t>https://datasheet.datasheetarchive.com/originals/distributors/Datasheets_SAMA/744760637e861ab0ee43f380fa65a694.pdf</t>
  </si>
  <si>
    <t>SamacSys_Parts:SOIC127P600X175-14N</t>
  </si>
  <si>
    <t>IC3</t>
  </si>
  <si>
    <t>TJA1042T_3_1J</t>
  </si>
  <si>
    <t>http://www.nxp.com/docs/en/data-sheet/TJA1042.pdf</t>
  </si>
  <si>
    <t>SamacSys_Parts:SOIC127P600X175-8N</t>
  </si>
  <si>
    <t>IC5</t>
  </si>
  <si>
    <t>MB85RCxxxV</t>
  </si>
  <si>
    <t>J1,J2</t>
  </si>
  <si>
    <t>RJ45</t>
  </si>
  <si>
    <t>https://app.adam-tech.com/products/download/data_sheet/203795/mtj-880x1-data-sheet.pdf</t>
  </si>
  <si>
    <t>SamacSys_Parts:MTJ880X1</t>
  </si>
  <si>
    <t>J3,J12,J13</t>
  </si>
  <si>
    <t>Power Sel</t>
  </si>
  <si>
    <t>Connector_PinHeader_2.54mm:PinHeader_1x03_P2.54mm_Vertical</t>
  </si>
  <si>
    <t>J4</t>
  </si>
  <si>
    <t>Conn_02x05_Odd_Even</t>
  </si>
  <si>
    <t>Connector_PinHeader_2.54mm:PinHeader_2x05_P2.54mm_Vertical</t>
  </si>
  <si>
    <t>J5</t>
  </si>
  <si>
    <t>I2C Header</t>
  </si>
  <si>
    <t>Connector_PinSocket_2.54mm:PinSocket_1x04_P2.54mm_Vertical</t>
  </si>
  <si>
    <t>J7</t>
  </si>
  <si>
    <t>Conn_01x04</t>
  </si>
  <si>
    <t>J8</t>
  </si>
  <si>
    <t>Conn_02x20_Odd_Even</t>
  </si>
  <si>
    <t>Connector_IDC:IDC-Header_2x20_P2.54mm_Vertical</t>
  </si>
  <si>
    <t>J10,J11</t>
  </si>
  <si>
    <t>Conn_02x04_Odd_Even</t>
  </si>
  <si>
    <t>Connector_PinHeader_2.54mm:PinHeader_2x04_P2.54mm_Vertical</t>
  </si>
  <si>
    <t>J14,J17</t>
  </si>
  <si>
    <t>Conn_01x20</t>
  </si>
  <si>
    <t>Connector_PinHeader_2.54mm:PinHeader_1x20_P2.54mm_Vertical</t>
  </si>
  <si>
    <t>J15</t>
  </si>
  <si>
    <t>Turntable</t>
  </si>
  <si>
    <t>Connector_IDC:IDC-Header_2x05_P2.54mm_Vertical</t>
  </si>
  <si>
    <t>J16</t>
  </si>
  <si>
    <t>FRAM Power Sel</t>
  </si>
  <si>
    <t>Jumper:SolderJumper-3_P1.3mm_Open_RoundedPad1.0x1.5mm</t>
  </si>
  <si>
    <t>J18</t>
  </si>
  <si>
    <t>5 volt</t>
  </si>
  <si>
    <t>TerminalBlock_TE-Connectivity:TerminalBlock_TE_282834-2_1x02_P2.54mm_Horizontal</t>
  </si>
  <si>
    <t>J19</t>
  </si>
  <si>
    <t>3.3 volt</t>
  </si>
  <si>
    <t>J20</t>
  </si>
  <si>
    <t>Barrel Jack</t>
  </si>
  <si>
    <t>Connector_BarrelJack:BarrelJack_Horizontal</t>
  </si>
  <si>
    <t>J21</t>
  </si>
  <si>
    <t>Roundhouse</t>
  </si>
  <si>
    <t>J22</t>
  </si>
  <si>
    <t>AGND</t>
  </si>
  <si>
    <t>J23</t>
  </si>
  <si>
    <t>Display Power Sel</t>
  </si>
  <si>
    <t>JP1</t>
  </si>
  <si>
    <t>J2 Pwr</t>
  </si>
  <si>
    <t>Connector_PinHeader_2.54mm:PinHeader_1x02_P2.54mm_Vertical</t>
  </si>
  <si>
    <t>JP2</t>
  </si>
  <si>
    <t>LCC Pwrd</t>
  </si>
  <si>
    <t>JP3</t>
  </si>
  <si>
    <t>J1 Pwr</t>
  </si>
  <si>
    <t>JP4</t>
  </si>
  <si>
    <t>LCC Grnd</t>
  </si>
  <si>
    <t>JP5</t>
  </si>
  <si>
    <t>Inject Power</t>
  </si>
  <si>
    <t>JP6</t>
  </si>
  <si>
    <t>Write Protect</t>
  </si>
  <si>
    <t>Jumper:SolderJumper-2_P1.3mm_Open_Pad1.0x1.5mm</t>
  </si>
  <si>
    <t>JP7,JP8,JP9</t>
  </si>
  <si>
    <t>Address</t>
  </si>
  <si>
    <t>L1</t>
  </si>
  <si>
    <t>SRP3212A-2R2M</t>
  </si>
  <si>
    <t>https://www.bourns.com/docs/product-datasheets/srp3212.pdf</t>
  </si>
  <si>
    <t>SamacSys_Parts:INDC3225X120N</t>
  </si>
  <si>
    <t>L2</t>
  </si>
  <si>
    <t>SRP3212A-3R3M</t>
  </si>
  <si>
    <t>Q1</t>
  </si>
  <si>
    <t>DMG2305UX-7</t>
  </si>
  <si>
    <t>https://www.diodes.com//assets/Datasheets/DMG2305UX.pdf</t>
  </si>
  <si>
    <t>SamacSys_Parts:SOT96P240X115-3N</t>
  </si>
  <si>
    <t>R1</t>
  </si>
  <si>
    <t>124K</t>
  </si>
  <si>
    <t>Resistor_SMD:R_1206_3216Metric_Pad1.30x1.75mm_HandSolder</t>
  </si>
  <si>
    <t>R2,R4</t>
  </si>
  <si>
    <t>22.1K</t>
  </si>
  <si>
    <t>R3</t>
  </si>
  <si>
    <t>73.2K</t>
  </si>
  <si>
    <t>R5,R10,R12</t>
  </si>
  <si>
    <t>3K</t>
  </si>
  <si>
    <t>R6</t>
  </si>
  <si>
    <t>820R</t>
  </si>
  <si>
    <t>R7</t>
  </si>
  <si>
    <t>560R</t>
  </si>
  <si>
    <t>R8,R9,R13,R14,R16</t>
  </si>
  <si>
    <t>10K</t>
  </si>
  <si>
    <t>R11</t>
  </si>
  <si>
    <t>2K</t>
  </si>
  <si>
    <t>R15</t>
  </si>
  <si>
    <t>6k8</t>
  </si>
  <si>
    <t>RPiPico1</t>
  </si>
  <si>
    <t>Raspberry Pi Pico</t>
  </si>
  <si>
    <t>MCU_RaspberryPi_and_Boards:RPi_Pico_SMD_TH</t>
  </si>
  <si>
    <t>SW1</t>
  </si>
  <si>
    <t>Pico Reset</t>
  </si>
  <si>
    <t>https://www.cuidevices.com/product/resource/ts11.pdf</t>
  </si>
  <si>
    <t>SamacSys_Parts:TS1167443BK160RAD</t>
  </si>
  <si>
    <t>SW2</t>
  </si>
  <si>
    <t>Blue Button</t>
  </si>
  <si>
    <t>SW3</t>
  </si>
  <si>
    <t>Gold Button</t>
  </si>
  <si>
    <t>TP1</t>
  </si>
  <si>
    <t>RX</t>
  </si>
  <si>
    <t>TestPoint:TestPoint_Pad_D1.0mm</t>
  </si>
  <si>
    <t>TP2</t>
  </si>
  <si>
    <t>TX</t>
  </si>
  <si>
    <t>Y1</t>
  </si>
  <si>
    <t>ABM-40MHZ</t>
  </si>
  <si>
    <t>https://abracon.com/Resonators/abm3.pdf</t>
  </si>
  <si>
    <t>SamacSys_Parts:ABM3</t>
  </si>
  <si>
    <t>Source</t>
  </si>
  <si>
    <t>mouser</t>
  </si>
  <si>
    <t>SamacSys_Parts:SOP65P780X200-28N</t>
  </si>
  <si>
    <t>MCP251863FDT</t>
  </si>
  <si>
    <t>C15,C16</t>
  </si>
  <si>
    <t>C6,C19</t>
  </si>
  <si>
    <t>source</t>
  </si>
  <si>
    <t>code</t>
  </si>
  <si>
    <t>Mouser #:</t>
  </si>
  <si>
    <t>Mfr. #:</t>
  </si>
  <si>
    <t>Desc.:</t>
  </si>
  <si>
    <t>Order Qty.</t>
  </si>
  <si>
    <t>Ext. (USD)</t>
  </si>
  <si>
    <t>Price (USD)</t>
  </si>
  <si>
    <t>Status</t>
  </si>
  <si>
    <t>Date</t>
  </si>
  <si>
    <t>595-TPS54294PWPR</t>
  </si>
  <si>
    <t>Switching Voltage Regulators Switching Voltage Regulators 4.5-18Vin,Dual 2A Out,Sync SD Cnvrtr</t>
  </si>
  <si>
    <t>20 Shipped</t>
  </si>
  <si>
    <t>603-RT1206FRD0710KL</t>
  </si>
  <si>
    <t>RT1206FRD0710KL</t>
  </si>
  <si>
    <t>Thin Film Resistors - SMD Thin Film Resistors - SMD 10K   OHM   1%  25PPM   1/4W</t>
  </si>
  <si>
    <t>100 Shipped</t>
  </si>
  <si>
    <t>603-RT1206FRE073KL</t>
  </si>
  <si>
    <t>RT1206FRE073KL</t>
  </si>
  <si>
    <t>Thin Film Resistors - SMD Thin Film Resistors - SMD 3K    OHM   1%  50PPM   1/4W</t>
  </si>
  <si>
    <t>638-EAST3215BA3</t>
  </si>
  <si>
    <t>EAST3215BA3</t>
  </si>
  <si>
    <t>Single Color LEDs Single Color LEDs Top-View PCB</t>
  </si>
  <si>
    <t>50 Shipped</t>
  </si>
  <si>
    <t>859-LTST-S321KRKT</t>
  </si>
  <si>
    <t>LTST-S321KRKT</t>
  </si>
  <si>
    <t>Single Color LEDs Single Color LEDs Red 631nm 54mcd Clear</t>
  </si>
  <si>
    <t>859-LTST-C230GKT</t>
  </si>
  <si>
    <t>LTST-C230GKT</t>
  </si>
  <si>
    <t>Single Color LEDs Single Color LEDs Green Clear 569nm</t>
  </si>
  <si>
    <t>859-LTST-S110KSKT</t>
  </si>
  <si>
    <t>LTST-S110KSKT</t>
  </si>
  <si>
    <t>Single Color LEDs Single Color LEDs Yellow Clear 587nm</t>
  </si>
  <si>
    <t>771-TJA1042T/3/1J</t>
  </si>
  <si>
    <t>TJA1042T/3/1J</t>
  </si>
  <si>
    <t>CAN Interface IC CAN Interface IC High-speed CAN transceiver</t>
  </si>
  <si>
    <t>10 Shipped</t>
  </si>
  <si>
    <t>579-MCP2518FDT-E/SL</t>
  </si>
  <si>
    <t>MCP2518FDT-E/SL</t>
  </si>
  <si>
    <t>CAN Interface IC CAN Interface IC Stand-alone Low Power CAN FD Controller w/SPI Interface Grade1</t>
  </si>
  <si>
    <t>771-PESD1CAN-T/R</t>
  </si>
  <si>
    <t>PESD1CAN,215</t>
  </si>
  <si>
    <t>ESD Protection Diodes / TVS Diodes ESD Protection Diodes / TVS Diodes PESD1CAN/SOT23/TO-236AB</t>
  </si>
  <si>
    <t>595-TPS54295PWPR</t>
  </si>
  <si>
    <t>TPS54295PWPR</t>
  </si>
  <si>
    <t>Switching Voltage Regulators Switching Voltage Regulators 4.5-18Vin,Dual 2A Out Sync SD Converter</t>
  </si>
  <si>
    <t>652-SRP3212A-2R2M</t>
  </si>
  <si>
    <t>Power Inductors - SMD Power Inductors - SMD Ind,3.2x2.5x1mm,2.2uH+/-20%,4A,shd AEC-Q200</t>
  </si>
  <si>
    <t>652-SRP3212A-3R3M</t>
  </si>
  <si>
    <t>Power Inductors - SMD Power Inductors - SMD Ind,3.2x2.5x1mm,3.3uH+/-20%,3.1A,shd AEC-Q200</t>
  </si>
  <si>
    <t>667-ERA-8AEB7322V</t>
  </si>
  <si>
    <t>ERA-8AEB7322V</t>
  </si>
  <si>
    <t>Thin Film Resistors - SMD Thin Film Resistors - SMD 1206 73.2Kohm 25ppm 0.1% AEC-Q200</t>
  </si>
  <si>
    <t>667-ERA-8AEB2212V</t>
  </si>
  <si>
    <t>ERA-8AEB2212V</t>
  </si>
  <si>
    <t>Thin Film Resistors - SMD Thin Film Resistors - SMD 1206 22.1Kohm 25ppm 0.1% AEC-Q200</t>
  </si>
  <si>
    <t>667-ERA-8AEB1243V</t>
  </si>
  <si>
    <t>ERA-8AEB1243V</t>
  </si>
  <si>
    <t>Thin Film Resistors - SMD Thin Film Resistors - SMD 1206 124Kohm 25ppm 0.1% AEC-Q200</t>
  </si>
  <si>
    <t>710-885012208049</t>
  </si>
  <si>
    <t>885012208049</t>
  </si>
  <si>
    <t>Multilayer Ceramic Capacitors MLCC - SMD/SMT Multilayer Ceramic Capacitors MLCC - SMD/SMT WCAP-CSGP 3300pF 1206 10% 25V MLCC</t>
  </si>
  <si>
    <t>80-C1206C104K3R7411</t>
  </si>
  <si>
    <t>C1206C104K3RAC7411</t>
  </si>
  <si>
    <t>Multilayer Ceramic Capacitors MLCC - SMD/SMT Multilayer Ceramic Capacitors MLCC - SMD/SMT 25V 0.1uF X7R 1206 10%</t>
  </si>
  <si>
    <t>60 Shipped</t>
  </si>
  <si>
    <t>595-ISO1050DUBR</t>
  </si>
  <si>
    <t>ISO1050DUBR</t>
  </si>
  <si>
    <t>Digital Isolators Digital Isolators Iso 5V CAN Xcvr</t>
  </si>
  <si>
    <t>737-MTJ-880X1</t>
  </si>
  <si>
    <t>MTJ-880X1</t>
  </si>
  <si>
    <t>Modular Connectors / Ethernet Connectors Modular Connectors / Ethernet Connectors 8P8C TYPE 0 GLD FLSH BLK</t>
  </si>
  <si>
    <t>26 Shipped</t>
  </si>
  <si>
    <t>621-DMG2305UX-7</t>
  </si>
  <si>
    <t>MOSFETs MOSFETs P-Ch ENH FET -20V 52mOh -5A</t>
  </si>
  <si>
    <t>637-M7</t>
  </si>
  <si>
    <t>Rectifiers Rectifiers Diode, SMA, 1000V, 1A</t>
  </si>
  <si>
    <t>530-0ZCG0035AF2C</t>
  </si>
  <si>
    <t xml:space="preserve">Resettable Fuses - PPTC Resettable Fuses - PPTC </t>
  </si>
  <si>
    <t>179-TS1167443160RAD</t>
  </si>
  <si>
    <t>TS11-674-43-BK-160-RA-D</t>
  </si>
  <si>
    <t>Tactile Switches Tactile Switches 6 x 7.4 mm 4.3 mm 160 gf Black Right Angle Through Hole SPST</t>
  </si>
  <si>
    <t>815-ABM3-40-B2-T</t>
  </si>
  <si>
    <t>ABM3-40.000MHZ-B2-T</t>
  </si>
  <si>
    <t>Crystals Crystals CRYSTAL 40.0000MHZ 18PF SMD</t>
  </si>
  <si>
    <t>187-CL31A226MOCLNNC</t>
  </si>
  <si>
    <t>CL31A226MOCLNNC</t>
  </si>
  <si>
    <t>Multilayer Ceramic Capacitors MLCC - SMD/SMT Multilayer Ceramic Capacitors MLCC - SMD/SMT 22uF+/-20% 16V X5R 3 1206</t>
  </si>
  <si>
    <t>187-CL31B105KAHNFNE</t>
  </si>
  <si>
    <t>CL31B105KAHNFNE</t>
  </si>
  <si>
    <t>Multilayer Ceramic Capacitors MLCC - SMD/SMT Multilayer Ceramic Capacitors MLCC - SMD/SMT 1uF+/-10% 25V X7R 32 1206</t>
  </si>
  <si>
    <t>710-156120VS75000</t>
  </si>
  <si>
    <t>156120VS75000</t>
  </si>
  <si>
    <t>Single Color LEDs Single Color LEDs WL-SMRW SMD RvMt Mon Wtrclr Rect 1206BtGn</t>
  </si>
  <si>
    <t>603-RT1206FRE072KL</t>
  </si>
  <si>
    <t>RT1206FRE072KL</t>
  </si>
  <si>
    <t>Thin Film Resistors - SMD Thin Film Resistors - SMD 1/4W 2K ohm 1% 50ppm</t>
  </si>
  <si>
    <t>667-EEU-FR1V471L</t>
  </si>
  <si>
    <t>EEU-FR1V471L</t>
  </si>
  <si>
    <t>Aluminum Electrolytic Capacitors - Radial Leaded Aluminum Electrolytic Capacitors - Radial Leaded 35VDC 470uF 8x20mm LS5mm</t>
  </si>
  <si>
    <t xml:space="preserve">Aluminum Electrolytic Capacitors - Radial Leaded Aluminum Electrolytic Capacitors - Radial Leaded 35VDC 470uF 10x??mm </t>
  </si>
  <si>
    <t>FRAM or EEPROM chip</t>
  </si>
  <si>
    <t>Part</t>
  </si>
  <si>
    <t>part</t>
  </si>
  <si>
    <t xml:space="preserve">C1206C220J3HACTU </t>
  </si>
  <si>
    <t>CL31B475KOHNFNE</t>
  </si>
  <si>
    <t xml:space="preserve">MCP2562FDT-E/SN </t>
  </si>
  <si>
    <t xml:space="preserve">RT1206FRE07560RL </t>
  </si>
  <si>
    <t xml:space="preserve">RT1206DRD076K8L </t>
  </si>
  <si>
    <t xml:space="preserve">RT1206FRE07820RL </t>
  </si>
  <si>
    <t xml:space="preserve">MCP251863T-H/SS </t>
  </si>
  <si>
    <t xml:space="preserve">BR24G512F-3AGTE2 </t>
  </si>
  <si>
    <t>x</t>
  </si>
  <si>
    <t>populated</t>
  </si>
  <si>
    <t>part cost</t>
  </si>
  <si>
    <t>Mouser Part Number</t>
  </si>
  <si>
    <t>Manufacturer Part Number</t>
  </si>
  <si>
    <t>Description</t>
  </si>
  <si>
    <t>Quantity</t>
  </si>
  <si>
    <t>Unit Price</t>
  </si>
  <si>
    <t>(USD)</t>
  </si>
  <si>
    <t>Extended Price</t>
  </si>
  <si>
    <t>249-MB85RC256VBCERE1</t>
  </si>
  <si>
    <t>MB85RC256VPF-G-BCERE1</t>
  </si>
  <si>
    <t>256kbit FRAM with I2</t>
  </si>
  <si>
    <t>755-BR24G512F-3AGTE2</t>
  </si>
  <si>
    <t>BR24G512F-3AGTE2</t>
  </si>
  <si>
    <t>I2C BUS(2-Wre) 512K</t>
  </si>
  <si>
    <t>579-MCP251863T-H/SS</t>
  </si>
  <si>
    <t>MCP251863T-H/SS</t>
  </si>
  <si>
    <t>CAN FD Controller an</t>
  </si>
  <si>
    <t>80-C1206C220J3HACTU</t>
  </si>
  <si>
    <t>C1206C220J3HACTU</t>
  </si>
  <si>
    <t>25V 22pF X8R 1206 5%</t>
  </si>
  <si>
    <t>187-CL31B475KOHNFNE</t>
  </si>
  <si>
    <t>4.7uF+/-10% 16V X7R</t>
  </si>
  <si>
    <t>579-MCP2562FDT-E/SN</t>
  </si>
  <si>
    <t>MCP2562FDT-E/SN</t>
  </si>
  <si>
    <t>CAN Flexible Data Ra</t>
  </si>
  <si>
    <t>579-MCP2562FD-E/P</t>
  </si>
  <si>
    <t>MCP2562FD-E/P</t>
  </si>
  <si>
    <t>603-RT1206FRE07560RL</t>
  </si>
  <si>
    <t>RT1206FRE07560RL</t>
  </si>
  <si>
    <t>560 OHM 1% 50PPM 1/4</t>
  </si>
  <si>
    <t>603-RT1206FRE07820RL</t>
  </si>
  <si>
    <t>RT1206FRE07820RL</t>
  </si>
  <si>
    <t>1/4W 820 ohm 1% 50pp</t>
  </si>
  <si>
    <t>603-RT1206DRD076K8L</t>
  </si>
  <si>
    <t>RT1206DRD076K8L</t>
  </si>
  <si>
    <t>6.8 kOhms 250 mW 0.5</t>
  </si>
  <si>
    <t>709-GSM90B15-P1M</t>
  </si>
  <si>
    <t>GSM90B15-P1M</t>
  </si>
  <si>
    <t>90W 15V 6A Medical A</t>
  </si>
  <si>
    <t>709-GSM60B15-P1J</t>
  </si>
  <si>
    <t>GSM60B15-P1J</t>
  </si>
  <si>
    <t>60W 15V 4A 2 Pole Me</t>
  </si>
  <si>
    <t>815-ABM8-40-10-1-U-T</t>
  </si>
  <si>
    <t>ABM8-40.000MHZ-10-1-U-T</t>
  </si>
  <si>
    <t>CRYSTAL 40.0000MHZ 1</t>
  </si>
  <si>
    <t>581-REF1016471M035K</t>
  </si>
  <si>
    <t>REF1016471M035K</t>
  </si>
  <si>
    <t>ALUMINUM RADIAL</t>
  </si>
  <si>
    <t>used MCP2562</t>
  </si>
  <si>
    <t>build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</si>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</sst>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8" fontId="0" fillId="0" borderId="0" xfId="0" applyNumberFormat="1"/>
    <xf numFmtId="15" fontId="0" fillId="0" borderId="0" xfId="0" applyNumberFormat="1"/>
    <xf numFmtId="0" fontId="14" fillId="0" borderId="0" xfId="0" applyFont="1"/>
    <xf numFmtId="8" fontId="14" fillId="0" borderId="0" xfId="0" applyNumberFormat="1" applyFont="1"/>
    <xf numFmtId="15" fontId="14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BE61-0E8B-4001-B96D-AC37633BFE61}">
  <dimension ref="A1:M60"/>
  <sheetViews>
    <sheetView workbookViewId="0">
      <selection activeCell="M2" sqref="M2"/>
    </sheetView>
  </sheetViews>
  <sheetFormatPr defaultRowHeight="14.4" x14ac:dyDescent="0.3"/>
  <cols>
    <col min="1" max="1" width="8.88671875" style="1"/>
    <col min="2" max="2" width="24.21875" customWidth="1"/>
    <col min="3" max="4" width="24.44140625" customWidth="1"/>
    <col min="5" max="5" width="12.5546875" style="1" customWidth="1"/>
    <col min="6" max="6" width="27.109375" style="1" customWidth="1"/>
    <col min="7" max="7" width="65" customWidth="1"/>
    <col min="8" max="8" width="50.77734375" customWidth="1"/>
    <col min="9" max="9" width="15" customWidth="1"/>
    <col min="11" max="11" width="14.21875" customWidth="1"/>
    <col min="13" max="13" width="18.44140625" customWidth="1"/>
  </cols>
  <sheetData>
    <row r="1" spans="1:13" s="3" customFormat="1" x14ac:dyDescent="0.3">
      <c r="A1" s="2" t="s">
        <v>4</v>
      </c>
      <c r="B1" s="3" t="s">
        <v>0</v>
      </c>
      <c r="C1" s="3" t="s">
        <v>1</v>
      </c>
      <c r="D1" s="3" t="s">
        <v>162</v>
      </c>
      <c r="E1" s="2" t="s">
        <v>169</v>
      </c>
      <c r="F1" s="2" t="s">
        <v>270</v>
      </c>
      <c r="G1" s="3" t="s">
        <v>2</v>
      </c>
      <c r="H1" s="3" t="s">
        <v>3</v>
      </c>
      <c r="I1" s="3" t="s">
        <v>5</v>
      </c>
      <c r="J1" s="3" t="s">
        <v>281</v>
      </c>
      <c r="K1" s="3" t="s">
        <v>282</v>
      </c>
      <c r="L1" s="3" t="s">
        <v>331</v>
      </c>
      <c r="M1" s="3" t="s">
        <v>332</v>
      </c>
    </row>
    <row r="2" spans="1:13" x14ac:dyDescent="0.3">
      <c r="A2" s="1">
        <v>2</v>
      </c>
      <c r="B2" t="s">
        <v>10</v>
      </c>
      <c r="C2" t="s">
        <v>11</v>
      </c>
      <c r="D2" t="s">
        <v>163</v>
      </c>
      <c r="E2" s="1" t="str">
        <f t="shared" ref="E2:E33" si="0">LEFT(B2,1)</f>
        <v>C</v>
      </c>
      <c r="F2" t="s">
        <v>231</v>
      </c>
      <c r="G2" t="s">
        <v>12</v>
      </c>
      <c r="H2" t="s">
        <v>13</v>
      </c>
      <c r="J2" t="s">
        <v>280</v>
      </c>
      <c r="K2">
        <f>VLOOKUP(F2,Stock!C:G,4,FALSE)</f>
        <v>5.8000000000000003E-2</v>
      </c>
      <c r="L2">
        <f>IF(ISBLANK(J2),0,A2*K2)</f>
        <v>0.11600000000000001</v>
      </c>
    </row>
    <row r="3" spans="1:13" x14ac:dyDescent="0.3">
      <c r="A3" s="1">
        <v>3</v>
      </c>
      <c r="B3" t="s">
        <v>19</v>
      </c>
      <c r="C3" t="s">
        <v>20</v>
      </c>
      <c r="D3" t="s">
        <v>163</v>
      </c>
      <c r="E3" s="1" t="str">
        <f t="shared" si="0"/>
        <v>C</v>
      </c>
      <c r="F3" t="s">
        <v>231</v>
      </c>
      <c r="G3" t="s">
        <v>12</v>
      </c>
      <c r="H3" t="s">
        <v>13</v>
      </c>
      <c r="J3" t="s">
        <v>280</v>
      </c>
      <c r="K3">
        <f>VLOOKUP(F3,Stock!C:G,4,FALSE)</f>
        <v>5.8000000000000003E-2</v>
      </c>
      <c r="L3">
        <f t="shared" ref="L3:L59" si="1">IF(ISBLANK(J3),0,A3*K3)</f>
        <v>0.17400000000000002</v>
      </c>
    </row>
    <row r="4" spans="1:13" x14ac:dyDescent="0.3">
      <c r="A4" s="1">
        <v>1</v>
      </c>
      <c r="B4" t="s">
        <v>21</v>
      </c>
      <c r="C4" t="s">
        <v>22</v>
      </c>
      <c r="D4" t="s">
        <v>163</v>
      </c>
      <c r="E4" s="1" t="str">
        <f t="shared" si="0"/>
        <v>C</v>
      </c>
      <c r="F4" t="s">
        <v>257</v>
      </c>
      <c r="G4" t="s">
        <v>12</v>
      </c>
      <c r="H4" t="s">
        <v>13</v>
      </c>
      <c r="J4" t="s">
        <v>280</v>
      </c>
      <c r="K4">
        <f>VLOOKUP(F4,Stock!C:G,4,FALSE)</f>
        <v>3.1E-2</v>
      </c>
      <c r="L4">
        <f t="shared" si="1"/>
        <v>3.1E-2</v>
      </c>
    </row>
    <row r="5" spans="1:13" x14ac:dyDescent="0.3">
      <c r="A5" s="1">
        <v>2</v>
      </c>
      <c r="B5" t="s">
        <v>23</v>
      </c>
      <c r="C5" t="s">
        <v>24</v>
      </c>
      <c r="D5" t="s">
        <v>163</v>
      </c>
      <c r="E5" s="1" t="str">
        <f t="shared" si="0"/>
        <v>C</v>
      </c>
      <c r="F5" t="s">
        <v>300</v>
      </c>
      <c r="G5" t="s">
        <v>12</v>
      </c>
      <c r="H5" t="s">
        <v>13</v>
      </c>
      <c r="J5" t="s">
        <v>280</v>
      </c>
      <c r="K5">
        <f>VLOOKUP(F5,Stock!C:G,4,FALSE)</f>
        <v>5.7000000000000002E-2</v>
      </c>
      <c r="L5">
        <f t="shared" si="1"/>
        <v>0.114</v>
      </c>
    </row>
    <row r="6" spans="1:13" x14ac:dyDescent="0.3">
      <c r="A6" s="1">
        <v>7</v>
      </c>
      <c r="B6" t="s">
        <v>17</v>
      </c>
      <c r="C6" t="s">
        <v>18</v>
      </c>
      <c r="D6" t="s">
        <v>163</v>
      </c>
      <c r="E6" s="1" t="str">
        <f t="shared" si="0"/>
        <v>C</v>
      </c>
      <c r="F6" t="s">
        <v>254</v>
      </c>
      <c r="G6" t="s">
        <v>12</v>
      </c>
      <c r="H6" t="s">
        <v>13</v>
      </c>
      <c r="J6" t="s">
        <v>280</v>
      </c>
      <c r="K6">
        <f>VLOOKUP(F6,Stock!C:G,4,FALSE)</f>
        <v>6.6000000000000003E-2</v>
      </c>
      <c r="L6">
        <f t="shared" si="1"/>
        <v>0.46200000000000002</v>
      </c>
    </row>
    <row r="7" spans="1:13" x14ac:dyDescent="0.3">
      <c r="A7" s="1">
        <v>1</v>
      </c>
      <c r="B7" t="s">
        <v>25</v>
      </c>
      <c r="C7" t="s">
        <v>26</v>
      </c>
      <c r="D7" t="s">
        <v>163</v>
      </c>
      <c r="E7" s="1" t="str">
        <f t="shared" si="0"/>
        <v>C</v>
      </c>
      <c r="F7" t="s">
        <v>273</v>
      </c>
      <c r="G7" t="s">
        <v>12</v>
      </c>
      <c r="H7" t="s">
        <v>13</v>
      </c>
      <c r="J7" t="s">
        <v>280</v>
      </c>
      <c r="K7">
        <f>VLOOKUP(F7,Stock!C:G,4,FALSE)</f>
        <v>4.8000000000000001E-2</v>
      </c>
      <c r="L7">
        <f t="shared" si="1"/>
        <v>4.8000000000000001E-2</v>
      </c>
    </row>
    <row r="8" spans="1:13" x14ac:dyDescent="0.3">
      <c r="A8" s="1">
        <v>1</v>
      </c>
      <c r="B8" t="s">
        <v>14</v>
      </c>
      <c r="C8" t="s">
        <v>15</v>
      </c>
      <c r="D8" t="s">
        <v>163</v>
      </c>
      <c r="E8" s="1" t="str">
        <f t="shared" si="0"/>
        <v>C</v>
      </c>
      <c r="F8" t="s">
        <v>266</v>
      </c>
      <c r="G8" t="s">
        <v>12</v>
      </c>
      <c r="H8" t="s">
        <v>16</v>
      </c>
      <c r="J8" t="s">
        <v>280</v>
      </c>
      <c r="K8">
        <f>VLOOKUP(F8,Stock!C:G,4,FALSE)</f>
        <v>0.3</v>
      </c>
      <c r="L8">
        <f t="shared" si="1"/>
        <v>0.3</v>
      </c>
    </row>
    <row r="9" spans="1:13" x14ac:dyDescent="0.3">
      <c r="A9" s="1">
        <v>4</v>
      </c>
      <c r="B9" t="s">
        <v>30</v>
      </c>
      <c r="C9" t="s">
        <v>31</v>
      </c>
      <c r="D9" t="s">
        <v>163</v>
      </c>
      <c r="E9" s="1" t="str">
        <f t="shared" si="0"/>
        <v>D</v>
      </c>
      <c r="F9" t="s">
        <v>196</v>
      </c>
      <c r="G9" t="s">
        <v>12</v>
      </c>
      <c r="H9" t="s">
        <v>32</v>
      </c>
      <c r="J9" t="s">
        <v>280</v>
      </c>
      <c r="K9">
        <f>VLOOKUP(F9,Stock!C:G,4,FALSE)</f>
        <v>6.0999999999999999E-2</v>
      </c>
      <c r="L9">
        <f t="shared" si="1"/>
        <v>0.24399999999999999</v>
      </c>
    </row>
    <row r="10" spans="1:13" x14ac:dyDescent="0.3">
      <c r="A10" s="1">
        <v>4</v>
      </c>
      <c r="B10" t="s">
        <v>27</v>
      </c>
      <c r="C10" t="s">
        <v>28</v>
      </c>
      <c r="D10" t="s">
        <v>163</v>
      </c>
      <c r="E10" s="1" t="str">
        <f t="shared" si="0"/>
        <v>D</v>
      </c>
      <c r="F10" t="s">
        <v>28</v>
      </c>
      <c r="G10" t="s">
        <v>12</v>
      </c>
      <c r="H10" t="s">
        <v>29</v>
      </c>
      <c r="J10" t="s">
        <v>280</v>
      </c>
      <c r="K10">
        <f>VLOOKUP(F10,Stock!C:G,4,FALSE)</f>
        <v>2.5000000000000001E-2</v>
      </c>
      <c r="L10">
        <f t="shared" si="1"/>
        <v>0.1</v>
      </c>
    </row>
    <row r="11" spans="1:13" x14ac:dyDescent="0.3">
      <c r="A11" s="1">
        <v>2</v>
      </c>
      <c r="B11" t="s">
        <v>33</v>
      </c>
      <c r="C11" t="s">
        <v>34</v>
      </c>
      <c r="D11" t="s">
        <v>163</v>
      </c>
      <c r="E11" s="1" t="str">
        <f t="shared" si="0"/>
        <v>D</v>
      </c>
      <c r="F11" t="s">
        <v>196</v>
      </c>
      <c r="G11" t="s">
        <v>12</v>
      </c>
      <c r="H11" t="s">
        <v>32</v>
      </c>
      <c r="J11" t="s">
        <v>280</v>
      </c>
      <c r="K11">
        <f>VLOOKUP(F11,Stock!C:G,4,FALSE)</f>
        <v>6.0999999999999999E-2</v>
      </c>
      <c r="L11">
        <f t="shared" si="1"/>
        <v>0.122</v>
      </c>
    </row>
    <row r="12" spans="1:13" x14ac:dyDescent="0.3">
      <c r="A12" s="1">
        <v>2</v>
      </c>
      <c r="B12" t="s">
        <v>35</v>
      </c>
      <c r="C12" t="s">
        <v>36</v>
      </c>
      <c r="D12" t="s">
        <v>163</v>
      </c>
      <c r="E12" s="1" t="str">
        <f t="shared" si="0"/>
        <v>F</v>
      </c>
      <c r="F12" t="s">
        <v>36</v>
      </c>
      <c r="G12" t="s">
        <v>37</v>
      </c>
      <c r="H12" t="s">
        <v>38</v>
      </c>
      <c r="J12" t="s">
        <v>280</v>
      </c>
      <c r="K12">
        <f>VLOOKUP(F12,Stock!C:G,4,FALSE)</f>
        <v>0.121</v>
      </c>
      <c r="L12">
        <f t="shared" si="1"/>
        <v>0.24199999999999999</v>
      </c>
    </row>
    <row r="13" spans="1:13" x14ac:dyDescent="0.3">
      <c r="A13" s="1">
        <v>1</v>
      </c>
      <c r="B13" t="s">
        <v>51</v>
      </c>
      <c r="C13" t="s">
        <v>52</v>
      </c>
      <c r="D13" t="s">
        <v>163</v>
      </c>
      <c r="E13" s="1" t="str">
        <f t="shared" si="0"/>
        <v>I</v>
      </c>
      <c r="F13" t="s">
        <v>294</v>
      </c>
      <c r="G13" s="10" t="s">
        <v>269</v>
      </c>
      <c r="H13" t="s">
        <v>50</v>
      </c>
      <c r="K13">
        <f>VLOOKUP(F13,Stock!C:G,4,FALSE)</f>
        <v>0.74399999999999999</v>
      </c>
      <c r="L13">
        <f t="shared" si="1"/>
        <v>0</v>
      </c>
    </row>
    <row r="14" spans="1:13" x14ac:dyDescent="0.3">
      <c r="A14" s="1">
        <v>1</v>
      </c>
      <c r="B14" t="s">
        <v>43</v>
      </c>
      <c r="C14" t="s">
        <v>44</v>
      </c>
      <c r="D14" t="s">
        <v>163</v>
      </c>
      <c r="E14" s="1" t="str">
        <f t="shared" si="0"/>
        <v>I</v>
      </c>
      <c r="F14" t="s">
        <v>206</v>
      </c>
      <c r="G14" t="s">
        <v>45</v>
      </c>
      <c r="H14" t="s">
        <v>46</v>
      </c>
      <c r="J14" t="s">
        <v>280</v>
      </c>
      <c r="K14">
        <f>VLOOKUP(F14,Stock!C:G,4,FALSE)</f>
        <v>1.96</v>
      </c>
      <c r="L14">
        <f t="shared" si="1"/>
        <v>1.96</v>
      </c>
    </row>
    <row r="15" spans="1:13" x14ac:dyDescent="0.3">
      <c r="A15" s="1">
        <v>1</v>
      </c>
      <c r="B15" t="s">
        <v>47</v>
      </c>
      <c r="C15" t="s">
        <v>48</v>
      </c>
      <c r="D15" t="s">
        <v>163</v>
      </c>
      <c r="E15" s="1" t="str">
        <f t="shared" si="0"/>
        <v>I</v>
      </c>
      <c r="F15" s="6" t="s">
        <v>202</v>
      </c>
      <c r="G15" t="s">
        <v>49</v>
      </c>
      <c r="H15" t="s">
        <v>50</v>
      </c>
      <c r="J15" t="s">
        <v>280</v>
      </c>
      <c r="K15">
        <f>VLOOKUP(F15,Stock!C:G,4,FALSE)</f>
        <v>1.23</v>
      </c>
      <c r="L15">
        <f t="shared" si="1"/>
        <v>1.23</v>
      </c>
      <c r="M15" t="s">
        <v>330</v>
      </c>
    </row>
    <row r="16" spans="1:13" x14ac:dyDescent="0.3">
      <c r="A16" s="1">
        <v>1</v>
      </c>
      <c r="B16" t="s">
        <v>39</v>
      </c>
      <c r="C16" t="s">
        <v>40</v>
      </c>
      <c r="D16" t="s">
        <v>163</v>
      </c>
      <c r="E16" s="1" t="str">
        <f t="shared" si="0"/>
        <v>I</v>
      </c>
      <c r="F16" t="s">
        <v>40</v>
      </c>
      <c r="G16" t="s">
        <v>41</v>
      </c>
      <c r="H16" t="s">
        <v>42</v>
      </c>
      <c r="J16" t="s">
        <v>280</v>
      </c>
      <c r="K16">
        <f>VLOOKUP(F16,Stock!C:G,4,FALSE)</f>
        <v>1.66</v>
      </c>
      <c r="L16">
        <f t="shared" si="1"/>
        <v>1.66</v>
      </c>
    </row>
    <row r="17" spans="1:12" x14ac:dyDescent="0.3">
      <c r="A17" s="1">
        <v>2</v>
      </c>
      <c r="B17" t="s">
        <v>53</v>
      </c>
      <c r="C17" t="s">
        <v>54</v>
      </c>
      <c r="D17" t="s">
        <v>163</v>
      </c>
      <c r="E17" s="1" t="str">
        <f t="shared" si="0"/>
        <v>J</v>
      </c>
      <c r="F17" t="s">
        <v>238</v>
      </c>
      <c r="G17" t="s">
        <v>55</v>
      </c>
      <c r="H17" t="s">
        <v>56</v>
      </c>
      <c r="J17" t="s">
        <v>280</v>
      </c>
      <c r="K17">
        <f>VLOOKUP(F17,Stock!C:G,4,FALSE)</f>
        <v>0.499</v>
      </c>
      <c r="L17">
        <f t="shared" si="1"/>
        <v>0.998</v>
      </c>
    </row>
    <row r="18" spans="1:12" x14ac:dyDescent="0.3">
      <c r="A18" s="1">
        <v>1</v>
      </c>
      <c r="B18" t="s">
        <v>113</v>
      </c>
      <c r="C18" t="s">
        <v>114</v>
      </c>
      <c r="D18" t="s">
        <v>163</v>
      </c>
      <c r="E18" s="1" t="str">
        <f t="shared" si="0"/>
        <v>L</v>
      </c>
      <c r="F18" t="s">
        <v>114</v>
      </c>
      <c r="G18" t="s">
        <v>115</v>
      </c>
      <c r="H18" t="s">
        <v>116</v>
      </c>
      <c r="J18" t="s">
        <v>280</v>
      </c>
      <c r="K18">
        <f>VLOOKUP(F18,Stock!C:G,4,FALSE)</f>
        <v>0.17100000000000001</v>
      </c>
      <c r="L18">
        <f t="shared" si="1"/>
        <v>0.17100000000000001</v>
      </c>
    </row>
    <row r="19" spans="1:12" x14ac:dyDescent="0.3">
      <c r="A19" s="1">
        <v>1</v>
      </c>
      <c r="B19" t="s">
        <v>117</v>
      </c>
      <c r="C19" t="s">
        <v>118</v>
      </c>
      <c r="D19" t="s">
        <v>163</v>
      </c>
      <c r="E19" s="1" t="str">
        <f t="shared" si="0"/>
        <v>L</v>
      </c>
      <c r="F19" t="s">
        <v>118</v>
      </c>
      <c r="G19" t="s">
        <v>115</v>
      </c>
      <c r="H19" t="s">
        <v>116</v>
      </c>
      <c r="J19" t="s">
        <v>280</v>
      </c>
      <c r="K19">
        <f>VLOOKUP(F19,Stock!C:G,4,FALSE)</f>
        <v>0.17199999999999999</v>
      </c>
      <c r="L19">
        <f t="shared" si="1"/>
        <v>0.17199999999999999</v>
      </c>
    </row>
    <row r="20" spans="1:12" x14ac:dyDescent="0.3">
      <c r="A20" s="1">
        <v>1</v>
      </c>
      <c r="B20" t="s">
        <v>119</v>
      </c>
      <c r="C20" t="s">
        <v>120</v>
      </c>
      <c r="D20" t="s">
        <v>163</v>
      </c>
      <c r="E20" s="1" t="str">
        <f t="shared" si="0"/>
        <v>Q</v>
      </c>
      <c r="F20" t="s">
        <v>120</v>
      </c>
      <c r="G20" t="s">
        <v>121</v>
      </c>
      <c r="H20" t="s">
        <v>122</v>
      </c>
      <c r="J20" t="s">
        <v>280</v>
      </c>
      <c r="K20">
        <f>VLOOKUP(F20,Stock!C:G,4,FALSE)</f>
        <v>0.10100000000000001</v>
      </c>
      <c r="L20">
        <f t="shared" si="1"/>
        <v>0.10100000000000001</v>
      </c>
    </row>
    <row r="21" spans="1:12" x14ac:dyDescent="0.3">
      <c r="A21" s="1">
        <v>5</v>
      </c>
      <c r="B21" t="s">
        <v>136</v>
      </c>
      <c r="C21" t="s">
        <v>137</v>
      </c>
      <c r="D21" t="s">
        <v>163</v>
      </c>
      <c r="E21" s="1" t="str">
        <f t="shared" si="0"/>
        <v>R</v>
      </c>
      <c r="F21" t="s">
        <v>182</v>
      </c>
      <c r="H21" t="s">
        <v>125</v>
      </c>
      <c r="J21" t="s">
        <v>280</v>
      </c>
      <c r="K21">
        <f>VLOOKUP(F21,Stock!C:G,4,FALSE)</f>
        <v>3.5000000000000003E-2</v>
      </c>
      <c r="L21">
        <f t="shared" si="1"/>
        <v>0.17500000000000002</v>
      </c>
    </row>
    <row r="22" spans="1:12" x14ac:dyDescent="0.3">
      <c r="A22" s="1">
        <v>1</v>
      </c>
      <c r="B22" t="s">
        <v>123</v>
      </c>
      <c r="C22" t="s">
        <v>124</v>
      </c>
      <c r="D22" t="s">
        <v>163</v>
      </c>
      <c r="E22" s="1" t="str">
        <f t="shared" si="0"/>
        <v>R</v>
      </c>
      <c r="F22" t="s">
        <v>225</v>
      </c>
      <c r="H22" t="s">
        <v>125</v>
      </c>
      <c r="J22" t="s">
        <v>280</v>
      </c>
      <c r="K22">
        <f>VLOOKUP(F22,Stock!C:G,4,FALSE)</f>
        <v>0.27800000000000002</v>
      </c>
      <c r="L22">
        <f t="shared" si="1"/>
        <v>0.27800000000000002</v>
      </c>
    </row>
    <row r="23" spans="1:12" x14ac:dyDescent="0.3">
      <c r="A23" s="1">
        <v>2</v>
      </c>
      <c r="B23" t="s">
        <v>126</v>
      </c>
      <c r="C23" t="s">
        <v>127</v>
      </c>
      <c r="D23" t="s">
        <v>163</v>
      </c>
      <c r="E23" s="1" t="str">
        <f t="shared" si="0"/>
        <v>R</v>
      </c>
      <c r="F23" t="s">
        <v>222</v>
      </c>
      <c r="H23" t="s">
        <v>125</v>
      </c>
      <c r="J23" t="s">
        <v>280</v>
      </c>
      <c r="K23">
        <f>VLOOKUP(F23,Stock!C:G,4,FALSE)</f>
        <v>0.27800000000000002</v>
      </c>
      <c r="L23">
        <f t="shared" si="1"/>
        <v>0.55600000000000005</v>
      </c>
    </row>
    <row r="24" spans="1:12" x14ac:dyDescent="0.3">
      <c r="A24" s="1">
        <v>1</v>
      </c>
      <c r="B24" t="s">
        <v>138</v>
      </c>
      <c r="C24" t="s">
        <v>139</v>
      </c>
      <c r="D24" t="s">
        <v>163</v>
      </c>
      <c r="E24" s="1" t="str">
        <f t="shared" si="0"/>
        <v>R</v>
      </c>
      <c r="F24" t="s">
        <v>263</v>
      </c>
      <c r="H24" t="s">
        <v>125</v>
      </c>
      <c r="J24" t="s">
        <v>280</v>
      </c>
      <c r="K24">
        <f>VLOOKUP(F24,Stock!C:G,4,FALSE)</f>
        <v>3.9E-2</v>
      </c>
      <c r="L24">
        <f t="shared" si="1"/>
        <v>3.9E-2</v>
      </c>
    </row>
    <row r="25" spans="1:12" x14ac:dyDescent="0.3">
      <c r="A25" s="1">
        <v>3</v>
      </c>
      <c r="B25" t="s">
        <v>130</v>
      </c>
      <c r="C25" t="s">
        <v>131</v>
      </c>
      <c r="D25" t="s">
        <v>163</v>
      </c>
      <c r="E25" s="1" t="str">
        <f t="shared" si="0"/>
        <v>R</v>
      </c>
      <c r="F25" t="s">
        <v>186</v>
      </c>
      <c r="H25" t="s">
        <v>125</v>
      </c>
      <c r="J25" t="s">
        <v>280</v>
      </c>
      <c r="K25">
        <f>VLOOKUP(F25,Stock!C:G,4,FALSE)</f>
        <v>3.4000000000000002E-2</v>
      </c>
      <c r="L25">
        <f t="shared" si="1"/>
        <v>0.10200000000000001</v>
      </c>
    </row>
    <row r="26" spans="1:12" x14ac:dyDescent="0.3">
      <c r="A26" s="1">
        <v>1</v>
      </c>
      <c r="B26" t="s">
        <v>134</v>
      </c>
      <c r="C26" t="s">
        <v>135</v>
      </c>
      <c r="D26" t="s">
        <v>163</v>
      </c>
      <c r="E26" s="1" t="str">
        <f t="shared" si="0"/>
        <v>R</v>
      </c>
      <c r="F26" t="s">
        <v>310</v>
      </c>
      <c r="H26" t="s">
        <v>125</v>
      </c>
      <c r="J26" t="s">
        <v>280</v>
      </c>
      <c r="K26">
        <f>VLOOKUP(F26,Stock!C:G,4,FALSE)</f>
        <v>3.4000000000000002E-2</v>
      </c>
      <c r="L26">
        <f t="shared" si="1"/>
        <v>3.4000000000000002E-2</v>
      </c>
    </row>
    <row r="27" spans="1:12" x14ac:dyDescent="0.3">
      <c r="A27" s="1">
        <v>1</v>
      </c>
      <c r="B27" t="s">
        <v>140</v>
      </c>
      <c r="C27" t="s">
        <v>141</v>
      </c>
      <c r="D27" t="s">
        <v>163</v>
      </c>
      <c r="E27" s="1" t="str">
        <f t="shared" si="0"/>
        <v>R</v>
      </c>
      <c r="F27" t="s">
        <v>316</v>
      </c>
      <c r="H27" t="s">
        <v>125</v>
      </c>
      <c r="J27" t="s">
        <v>280</v>
      </c>
      <c r="K27">
        <f>VLOOKUP(F27,Stock!C:G,4,FALSE)</f>
        <v>7.0999999999999994E-2</v>
      </c>
      <c r="L27">
        <f t="shared" si="1"/>
        <v>7.0999999999999994E-2</v>
      </c>
    </row>
    <row r="28" spans="1:12" x14ac:dyDescent="0.3">
      <c r="A28" s="1">
        <v>1</v>
      </c>
      <c r="B28" t="s">
        <v>128</v>
      </c>
      <c r="C28" t="s">
        <v>129</v>
      </c>
      <c r="D28" t="s">
        <v>163</v>
      </c>
      <c r="E28" s="1" t="str">
        <f t="shared" si="0"/>
        <v>R</v>
      </c>
      <c r="F28" t="s">
        <v>219</v>
      </c>
      <c r="H28" t="s">
        <v>125</v>
      </c>
      <c r="J28" t="s">
        <v>280</v>
      </c>
      <c r="K28">
        <f>VLOOKUP(F28,Stock!C:G,4,FALSE)</f>
        <v>0.221</v>
      </c>
      <c r="L28">
        <f t="shared" si="1"/>
        <v>0.221</v>
      </c>
    </row>
    <row r="29" spans="1:12" x14ac:dyDescent="0.3">
      <c r="A29" s="1">
        <v>1</v>
      </c>
      <c r="B29" t="s">
        <v>132</v>
      </c>
      <c r="C29" t="s">
        <v>133</v>
      </c>
      <c r="D29" t="s">
        <v>163</v>
      </c>
      <c r="E29" s="1" t="str">
        <f t="shared" si="0"/>
        <v>R</v>
      </c>
      <c r="F29" t="s">
        <v>313</v>
      </c>
      <c r="H29" t="s">
        <v>125</v>
      </c>
      <c r="J29" t="s">
        <v>280</v>
      </c>
      <c r="K29">
        <f>VLOOKUP(F29,Stock!C:G,4,FALSE)</f>
        <v>3.4000000000000002E-2</v>
      </c>
      <c r="L29">
        <f t="shared" si="1"/>
        <v>3.4000000000000002E-2</v>
      </c>
    </row>
    <row r="30" spans="1:12" x14ac:dyDescent="0.3">
      <c r="A30" s="1">
        <v>1</v>
      </c>
      <c r="B30" t="s">
        <v>149</v>
      </c>
      <c r="C30" t="s">
        <v>150</v>
      </c>
      <c r="D30" t="s">
        <v>163</v>
      </c>
      <c r="E30" s="1" t="str">
        <f t="shared" si="0"/>
        <v>S</v>
      </c>
      <c r="F30" t="s">
        <v>248</v>
      </c>
      <c r="G30" t="s">
        <v>147</v>
      </c>
      <c r="H30" t="s">
        <v>148</v>
      </c>
      <c r="K30">
        <f>VLOOKUP(F30,Stock!C:G,4,FALSE)</f>
        <v>0.13600000000000001</v>
      </c>
      <c r="L30">
        <f t="shared" si="1"/>
        <v>0</v>
      </c>
    </row>
    <row r="31" spans="1:12" x14ac:dyDescent="0.3">
      <c r="A31" s="1">
        <v>1</v>
      </c>
      <c r="B31" t="s">
        <v>151</v>
      </c>
      <c r="C31" t="s">
        <v>152</v>
      </c>
      <c r="D31" t="s">
        <v>163</v>
      </c>
      <c r="E31" s="1" t="str">
        <f t="shared" si="0"/>
        <v>S</v>
      </c>
      <c r="F31" t="s">
        <v>248</v>
      </c>
      <c r="G31" t="s">
        <v>147</v>
      </c>
      <c r="H31" t="s">
        <v>148</v>
      </c>
      <c r="K31">
        <f>VLOOKUP(F31,Stock!C:G,4,FALSE)</f>
        <v>0.13600000000000001</v>
      </c>
      <c r="L31">
        <f t="shared" si="1"/>
        <v>0</v>
      </c>
    </row>
    <row r="32" spans="1:12" x14ac:dyDescent="0.3">
      <c r="A32" s="1">
        <v>1</v>
      </c>
      <c r="B32" t="s">
        <v>145</v>
      </c>
      <c r="C32" t="s">
        <v>146</v>
      </c>
      <c r="D32" t="s">
        <v>163</v>
      </c>
      <c r="E32" s="1" t="str">
        <f t="shared" si="0"/>
        <v>S</v>
      </c>
      <c r="F32" t="s">
        <v>248</v>
      </c>
      <c r="G32" t="s">
        <v>147</v>
      </c>
      <c r="H32" t="s">
        <v>148</v>
      </c>
      <c r="J32" t="s">
        <v>280</v>
      </c>
      <c r="K32">
        <f>VLOOKUP(F32,Stock!C:G,4,FALSE)</f>
        <v>0.13600000000000001</v>
      </c>
      <c r="L32">
        <f t="shared" si="1"/>
        <v>0.13600000000000001</v>
      </c>
    </row>
    <row r="33" spans="1:12" x14ac:dyDescent="0.3">
      <c r="A33" s="1">
        <v>1</v>
      </c>
      <c r="B33" t="s">
        <v>158</v>
      </c>
      <c r="C33" t="s">
        <v>159</v>
      </c>
      <c r="D33" t="s">
        <v>163</v>
      </c>
      <c r="E33" s="1" t="str">
        <f t="shared" si="0"/>
        <v>Y</v>
      </c>
      <c r="F33" t="s">
        <v>251</v>
      </c>
      <c r="G33" t="s">
        <v>160</v>
      </c>
      <c r="H33" t="s">
        <v>161</v>
      </c>
      <c r="J33" t="s">
        <v>280</v>
      </c>
      <c r="K33">
        <f>VLOOKUP(F33,Stock!C:G,4,FALSE)</f>
        <v>0.36299999999999999</v>
      </c>
      <c r="L33">
        <f t="shared" si="1"/>
        <v>0.36299999999999999</v>
      </c>
    </row>
    <row r="34" spans="1:12" x14ac:dyDescent="0.3">
      <c r="A34" s="1">
        <v>1</v>
      </c>
      <c r="B34" t="s">
        <v>6</v>
      </c>
      <c r="C34" t="s">
        <v>7</v>
      </c>
      <c r="E34" s="1" t="str">
        <f t="shared" ref="E34:E59" si="2">LEFT(B34,1)</f>
        <v>A</v>
      </c>
      <c r="G34" t="s">
        <v>8</v>
      </c>
      <c r="H34" t="s">
        <v>9</v>
      </c>
      <c r="L34">
        <f t="shared" si="1"/>
        <v>0</v>
      </c>
    </row>
    <row r="35" spans="1:12" x14ac:dyDescent="0.3">
      <c r="A35" s="1">
        <v>1</v>
      </c>
      <c r="B35" t="s">
        <v>86</v>
      </c>
      <c r="C35" t="s">
        <v>87</v>
      </c>
      <c r="E35" s="1" t="str">
        <f t="shared" si="2"/>
        <v>J</v>
      </c>
      <c r="G35" t="s">
        <v>12</v>
      </c>
      <c r="H35" t="s">
        <v>85</v>
      </c>
      <c r="L35">
        <f t="shared" si="1"/>
        <v>0</v>
      </c>
    </row>
    <row r="36" spans="1:12" x14ac:dyDescent="0.3">
      <c r="A36" s="1">
        <v>1</v>
      </c>
      <c r="B36" t="s">
        <v>83</v>
      </c>
      <c r="C36" t="s">
        <v>84</v>
      </c>
      <c r="E36" s="1" t="str">
        <f t="shared" si="2"/>
        <v>J</v>
      </c>
      <c r="G36" t="s">
        <v>12</v>
      </c>
      <c r="H36" t="s">
        <v>85</v>
      </c>
      <c r="L36">
        <f t="shared" si="1"/>
        <v>0</v>
      </c>
    </row>
    <row r="37" spans="1:12" x14ac:dyDescent="0.3">
      <c r="A37" s="1">
        <v>3</v>
      </c>
      <c r="B37" t="s">
        <v>111</v>
      </c>
      <c r="C37" t="s">
        <v>112</v>
      </c>
      <c r="E37" s="1" t="str">
        <f t="shared" si="2"/>
        <v>J</v>
      </c>
      <c r="H37" t="s">
        <v>110</v>
      </c>
      <c r="L37">
        <f t="shared" si="1"/>
        <v>0</v>
      </c>
    </row>
    <row r="38" spans="1:12" x14ac:dyDescent="0.3">
      <c r="A38" s="1">
        <v>1</v>
      </c>
      <c r="B38" t="s">
        <v>93</v>
      </c>
      <c r="C38" t="s">
        <v>94</v>
      </c>
      <c r="E38" s="1" t="str">
        <f t="shared" si="2"/>
        <v>J</v>
      </c>
      <c r="G38" t="s">
        <v>12</v>
      </c>
      <c r="H38" t="s">
        <v>59</v>
      </c>
      <c r="L38">
        <f t="shared" si="1"/>
        <v>0</v>
      </c>
    </row>
    <row r="39" spans="1:12" x14ac:dyDescent="0.3">
      <c r="A39" s="1">
        <v>1</v>
      </c>
      <c r="B39" t="s">
        <v>88</v>
      </c>
      <c r="C39" t="s">
        <v>89</v>
      </c>
      <c r="E39" s="1" t="str">
        <f t="shared" si="2"/>
        <v>J</v>
      </c>
      <c r="G39" t="s">
        <v>12</v>
      </c>
      <c r="H39" t="s">
        <v>90</v>
      </c>
      <c r="J39" t="s">
        <v>280</v>
      </c>
      <c r="K39">
        <v>0.5</v>
      </c>
      <c r="L39">
        <f t="shared" si="1"/>
        <v>0.5</v>
      </c>
    </row>
    <row r="40" spans="1:12" x14ac:dyDescent="0.3">
      <c r="A40" s="1">
        <v>1</v>
      </c>
      <c r="B40" t="s">
        <v>66</v>
      </c>
      <c r="C40" t="s">
        <v>67</v>
      </c>
      <c r="E40" s="1" t="str">
        <f t="shared" si="2"/>
        <v>J</v>
      </c>
      <c r="G40" t="s">
        <v>12</v>
      </c>
      <c r="H40" t="s">
        <v>65</v>
      </c>
      <c r="L40">
        <f t="shared" si="1"/>
        <v>0</v>
      </c>
    </row>
    <row r="41" spans="1:12" x14ac:dyDescent="0.3">
      <c r="A41" s="1">
        <v>2</v>
      </c>
      <c r="B41" t="s">
        <v>74</v>
      </c>
      <c r="C41" t="s">
        <v>75</v>
      </c>
      <c r="E41" s="1" t="str">
        <f t="shared" si="2"/>
        <v>J</v>
      </c>
      <c r="G41" t="s">
        <v>12</v>
      </c>
      <c r="H41" t="s">
        <v>76</v>
      </c>
      <c r="J41" t="s">
        <v>280</v>
      </c>
      <c r="K41">
        <v>0.5</v>
      </c>
      <c r="L41">
        <f t="shared" si="1"/>
        <v>1</v>
      </c>
    </row>
    <row r="42" spans="1:12" x14ac:dyDescent="0.3">
      <c r="A42" s="1">
        <v>2</v>
      </c>
      <c r="B42" t="s">
        <v>71</v>
      </c>
      <c r="C42" t="s">
        <v>72</v>
      </c>
      <c r="E42" s="1" t="str">
        <f t="shared" si="2"/>
        <v>J</v>
      </c>
      <c r="G42" t="s">
        <v>12</v>
      </c>
      <c r="H42" t="s">
        <v>73</v>
      </c>
      <c r="L42">
        <f t="shared" si="1"/>
        <v>0</v>
      </c>
    </row>
    <row r="43" spans="1:12" x14ac:dyDescent="0.3">
      <c r="A43" s="1">
        <v>1</v>
      </c>
      <c r="B43" t="s">
        <v>60</v>
      </c>
      <c r="C43" t="s">
        <v>61</v>
      </c>
      <c r="E43" s="1" t="str">
        <f t="shared" si="2"/>
        <v>J</v>
      </c>
      <c r="G43" t="s">
        <v>12</v>
      </c>
      <c r="H43" t="s">
        <v>62</v>
      </c>
      <c r="L43">
        <f t="shared" si="1"/>
        <v>0</v>
      </c>
    </row>
    <row r="44" spans="1:12" x14ac:dyDescent="0.3">
      <c r="A44" s="1">
        <v>1</v>
      </c>
      <c r="B44" t="s">
        <v>68</v>
      </c>
      <c r="C44" t="s">
        <v>69</v>
      </c>
      <c r="E44" s="1" t="str">
        <f t="shared" si="2"/>
        <v>J</v>
      </c>
      <c r="G44" t="s">
        <v>12</v>
      </c>
      <c r="H44" t="s">
        <v>70</v>
      </c>
      <c r="L44">
        <f t="shared" si="1"/>
        <v>0</v>
      </c>
    </row>
    <row r="45" spans="1:12" x14ac:dyDescent="0.3">
      <c r="A45" s="1">
        <v>1</v>
      </c>
      <c r="B45" t="s">
        <v>95</v>
      </c>
      <c r="C45" t="s">
        <v>96</v>
      </c>
      <c r="E45" s="1" t="str">
        <f t="shared" si="2"/>
        <v>J</v>
      </c>
      <c r="G45" t="s">
        <v>12</v>
      </c>
      <c r="H45" t="s">
        <v>82</v>
      </c>
      <c r="L45">
        <f t="shared" si="1"/>
        <v>0</v>
      </c>
    </row>
    <row r="46" spans="1:12" x14ac:dyDescent="0.3">
      <c r="A46" s="1">
        <v>1</v>
      </c>
      <c r="B46" t="s">
        <v>80</v>
      </c>
      <c r="C46" t="s">
        <v>81</v>
      </c>
      <c r="E46" s="1" t="str">
        <f t="shared" si="2"/>
        <v>J</v>
      </c>
      <c r="G46" t="s">
        <v>12</v>
      </c>
      <c r="H46" t="s">
        <v>82</v>
      </c>
      <c r="L46">
        <f t="shared" si="1"/>
        <v>0</v>
      </c>
    </row>
    <row r="47" spans="1:12" x14ac:dyDescent="0.3">
      <c r="A47" s="1">
        <v>1</v>
      </c>
      <c r="B47" t="s">
        <v>63</v>
      </c>
      <c r="C47" t="s">
        <v>64</v>
      </c>
      <c r="E47" s="1" t="str">
        <f t="shared" si="2"/>
        <v>J</v>
      </c>
      <c r="G47" t="s">
        <v>12</v>
      </c>
      <c r="H47" t="s">
        <v>65</v>
      </c>
      <c r="L47">
        <f t="shared" si="1"/>
        <v>0</v>
      </c>
    </row>
    <row r="48" spans="1:12" x14ac:dyDescent="0.3">
      <c r="A48" s="1">
        <v>1</v>
      </c>
      <c r="B48" t="s">
        <v>106</v>
      </c>
      <c r="C48" t="s">
        <v>107</v>
      </c>
      <c r="E48" s="1" t="str">
        <f t="shared" si="2"/>
        <v>J</v>
      </c>
      <c r="H48" t="s">
        <v>99</v>
      </c>
      <c r="L48">
        <f t="shared" si="1"/>
        <v>0</v>
      </c>
    </row>
    <row r="49" spans="1:12" x14ac:dyDescent="0.3">
      <c r="A49" s="1">
        <v>1</v>
      </c>
      <c r="B49" t="s">
        <v>102</v>
      </c>
      <c r="C49" t="s">
        <v>103</v>
      </c>
      <c r="E49" s="1" t="str">
        <f t="shared" si="2"/>
        <v>J</v>
      </c>
      <c r="H49" t="s">
        <v>99</v>
      </c>
      <c r="L49">
        <f t="shared" si="1"/>
        <v>0</v>
      </c>
    </row>
    <row r="50" spans="1:12" x14ac:dyDescent="0.3">
      <c r="A50" s="1">
        <v>1</v>
      </c>
      <c r="B50" t="s">
        <v>97</v>
      </c>
      <c r="C50" t="s">
        <v>98</v>
      </c>
      <c r="E50" s="1" t="str">
        <f t="shared" si="2"/>
        <v>J</v>
      </c>
      <c r="H50" t="s">
        <v>99</v>
      </c>
      <c r="L50">
        <f t="shared" si="1"/>
        <v>0</v>
      </c>
    </row>
    <row r="51" spans="1:12" x14ac:dyDescent="0.3">
      <c r="A51" s="1">
        <v>1</v>
      </c>
      <c r="B51" t="s">
        <v>104</v>
      </c>
      <c r="C51" t="s">
        <v>105</v>
      </c>
      <c r="E51" s="1" t="str">
        <f t="shared" si="2"/>
        <v>J</v>
      </c>
      <c r="H51" t="s">
        <v>99</v>
      </c>
      <c r="L51">
        <f t="shared" si="1"/>
        <v>0</v>
      </c>
    </row>
    <row r="52" spans="1:12" x14ac:dyDescent="0.3">
      <c r="A52" s="1">
        <v>1</v>
      </c>
      <c r="B52" t="s">
        <v>100</v>
      </c>
      <c r="C52" t="s">
        <v>101</v>
      </c>
      <c r="E52" s="1" t="str">
        <f t="shared" si="2"/>
        <v>J</v>
      </c>
      <c r="H52" t="s">
        <v>99</v>
      </c>
      <c r="L52">
        <f t="shared" si="1"/>
        <v>0</v>
      </c>
    </row>
    <row r="53" spans="1:12" x14ac:dyDescent="0.3">
      <c r="A53" s="1">
        <v>3</v>
      </c>
      <c r="B53" t="s">
        <v>57</v>
      </c>
      <c r="C53" t="s">
        <v>58</v>
      </c>
      <c r="E53" s="1" t="str">
        <f t="shared" si="2"/>
        <v>J</v>
      </c>
      <c r="G53" t="s">
        <v>12</v>
      </c>
      <c r="H53" t="s">
        <v>59</v>
      </c>
      <c r="L53">
        <f t="shared" si="1"/>
        <v>0</v>
      </c>
    </row>
    <row r="54" spans="1:12" x14ac:dyDescent="0.3">
      <c r="A54" s="1">
        <v>1</v>
      </c>
      <c r="B54" t="s">
        <v>91</v>
      </c>
      <c r="C54" t="s">
        <v>92</v>
      </c>
      <c r="E54" s="1" t="str">
        <f t="shared" si="2"/>
        <v>J</v>
      </c>
      <c r="G54" t="s">
        <v>12</v>
      </c>
      <c r="H54" t="s">
        <v>79</v>
      </c>
      <c r="L54">
        <f t="shared" si="1"/>
        <v>0</v>
      </c>
    </row>
    <row r="55" spans="1:12" x14ac:dyDescent="0.3">
      <c r="A55" s="1">
        <v>1</v>
      </c>
      <c r="B55" t="s">
        <v>77</v>
      </c>
      <c r="C55" t="s">
        <v>78</v>
      </c>
      <c r="E55" s="1" t="str">
        <f t="shared" si="2"/>
        <v>J</v>
      </c>
      <c r="G55" t="s">
        <v>12</v>
      </c>
      <c r="H55" t="s">
        <v>79</v>
      </c>
      <c r="L55">
        <f t="shared" si="1"/>
        <v>0</v>
      </c>
    </row>
    <row r="56" spans="1:12" x14ac:dyDescent="0.3">
      <c r="A56" s="1">
        <v>1</v>
      </c>
      <c r="B56" t="s">
        <v>108</v>
      </c>
      <c r="C56" t="s">
        <v>109</v>
      </c>
      <c r="E56" s="1" t="str">
        <f t="shared" si="2"/>
        <v>J</v>
      </c>
      <c r="H56" t="s">
        <v>110</v>
      </c>
      <c r="L56">
        <f t="shared" si="1"/>
        <v>0</v>
      </c>
    </row>
    <row r="57" spans="1:12" x14ac:dyDescent="0.3">
      <c r="A57" s="1">
        <v>1</v>
      </c>
      <c r="B57" t="s">
        <v>142</v>
      </c>
      <c r="C57" t="s">
        <v>143</v>
      </c>
      <c r="E57" s="1" t="str">
        <f t="shared" si="2"/>
        <v>R</v>
      </c>
      <c r="H57" t="s">
        <v>144</v>
      </c>
      <c r="L57">
        <f t="shared" si="1"/>
        <v>0</v>
      </c>
    </row>
    <row r="58" spans="1:12" x14ac:dyDescent="0.3">
      <c r="A58" s="1">
        <v>1</v>
      </c>
      <c r="B58" t="s">
        <v>153</v>
      </c>
      <c r="C58" t="s">
        <v>154</v>
      </c>
      <c r="E58" s="1" t="str">
        <f t="shared" si="2"/>
        <v>T</v>
      </c>
      <c r="G58" t="s">
        <v>12</v>
      </c>
      <c r="H58" t="s">
        <v>155</v>
      </c>
      <c r="L58">
        <f t="shared" si="1"/>
        <v>0</v>
      </c>
    </row>
    <row r="59" spans="1:12" x14ac:dyDescent="0.3">
      <c r="A59" s="1">
        <v>1</v>
      </c>
      <c r="B59" t="s">
        <v>156</v>
      </c>
      <c r="C59" t="s">
        <v>157</v>
      </c>
      <c r="E59" s="1" t="str">
        <f t="shared" si="2"/>
        <v>T</v>
      </c>
      <c r="G59" t="s">
        <v>12</v>
      </c>
      <c r="H59" t="s">
        <v>155</v>
      </c>
      <c r="L59">
        <f t="shared" si="1"/>
        <v>0</v>
      </c>
    </row>
    <row r="60" spans="1:12" x14ac:dyDescent="0.3">
      <c r="L60">
        <f>SUM(L2:L59)</f>
        <v>11.754000000000005</v>
      </c>
    </row>
  </sheetData>
  <sortState xmlns:xlrd2="http://schemas.microsoft.com/office/spreadsheetml/2017/richdata2" ref="A2:I59">
    <sortCondition ref="D2:D59"/>
    <sortCondition ref="E2:E59"/>
    <sortCondition ref="C2:C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2A90-2715-428D-B905-3E8FD248446F}">
  <dimension ref="A1:I58"/>
  <sheetViews>
    <sheetView workbookViewId="0">
      <selection activeCell="F13" sqref="F13"/>
    </sheetView>
  </sheetViews>
  <sheetFormatPr defaultRowHeight="14.4" x14ac:dyDescent="0.3"/>
  <cols>
    <col min="1" max="1" width="8.88671875" style="1"/>
    <col min="2" max="2" width="23.44140625" customWidth="1"/>
    <col min="3" max="3" width="29.33203125" customWidth="1"/>
    <col min="4" max="4" width="15" customWidth="1"/>
    <col min="5" max="5" width="14.21875" customWidth="1"/>
    <col min="6" max="6" width="21.77734375" customWidth="1"/>
    <col min="7" max="7" width="25.77734375" customWidth="1"/>
    <col min="8" max="8" width="40" customWidth="1"/>
  </cols>
  <sheetData>
    <row r="1" spans="1:9" s="3" customFormat="1" x14ac:dyDescent="0.3">
      <c r="A1" s="2" t="s">
        <v>4</v>
      </c>
      <c r="B1" s="3" t="s">
        <v>0</v>
      </c>
      <c r="C1" s="3" t="s">
        <v>1</v>
      </c>
      <c r="D1" s="3" t="s">
        <v>168</v>
      </c>
      <c r="E1" s="2" t="s">
        <v>169</v>
      </c>
      <c r="F1" s="2" t="s">
        <v>271</v>
      </c>
      <c r="G1" s="3" t="s">
        <v>2</v>
      </c>
      <c r="H1" s="3" t="s">
        <v>3</v>
      </c>
      <c r="I1" s="3" t="s">
        <v>5</v>
      </c>
    </row>
    <row r="2" spans="1:9" x14ac:dyDescent="0.3">
      <c r="A2" s="1">
        <v>2</v>
      </c>
      <c r="B2" t="s">
        <v>10</v>
      </c>
      <c r="C2" t="s">
        <v>11</v>
      </c>
      <c r="D2" t="s">
        <v>163</v>
      </c>
      <c r="E2" s="1" t="str">
        <f t="shared" ref="E2:E33" si="0">LEFT(B2,1)</f>
        <v>C</v>
      </c>
      <c r="F2" t="s">
        <v>231</v>
      </c>
      <c r="G2" t="s">
        <v>12</v>
      </c>
      <c r="H2" t="s">
        <v>13</v>
      </c>
    </row>
    <row r="3" spans="1:9" x14ac:dyDescent="0.3">
      <c r="A3" s="1">
        <v>2</v>
      </c>
      <c r="B3" t="s">
        <v>167</v>
      </c>
      <c r="C3" t="s">
        <v>20</v>
      </c>
      <c r="D3" t="s">
        <v>163</v>
      </c>
      <c r="E3" s="1" t="str">
        <f t="shared" si="0"/>
        <v>C</v>
      </c>
      <c r="F3" t="s">
        <v>231</v>
      </c>
      <c r="G3" t="s">
        <v>12</v>
      </c>
      <c r="H3" t="s">
        <v>13</v>
      </c>
    </row>
    <row r="4" spans="1:9" x14ac:dyDescent="0.3">
      <c r="A4" s="1">
        <v>1</v>
      </c>
      <c r="B4" t="s">
        <v>21</v>
      </c>
      <c r="C4" t="s">
        <v>22</v>
      </c>
      <c r="D4" t="s">
        <v>163</v>
      </c>
      <c r="E4" s="1" t="str">
        <f t="shared" si="0"/>
        <v>C</v>
      </c>
      <c r="F4" t="s">
        <v>257</v>
      </c>
      <c r="G4" t="s">
        <v>12</v>
      </c>
      <c r="H4" t="s">
        <v>13</v>
      </c>
    </row>
    <row r="5" spans="1:9" x14ac:dyDescent="0.3">
      <c r="A5" s="1">
        <v>2</v>
      </c>
      <c r="B5" t="s">
        <v>23</v>
      </c>
      <c r="C5" t="s">
        <v>24</v>
      </c>
      <c r="D5" t="s">
        <v>163</v>
      </c>
      <c r="E5" s="1" t="str">
        <f t="shared" si="0"/>
        <v>C</v>
      </c>
      <c r="F5" s="9" t="s">
        <v>272</v>
      </c>
      <c r="G5" t="s">
        <v>12</v>
      </c>
      <c r="H5" t="s">
        <v>13</v>
      </c>
    </row>
    <row r="6" spans="1:9" x14ac:dyDescent="0.3">
      <c r="A6" s="1">
        <v>7</v>
      </c>
      <c r="B6" t="s">
        <v>17</v>
      </c>
      <c r="C6" t="s">
        <v>18</v>
      </c>
      <c r="D6" t="s">
        <v>163</v>
      </c>
      <c r="E6" s="1" t="str">
        <f t="shared" si="0"/>
        <v>C</v>
      </c>
      <c r="F6" t="s">
        <v>254</v>
      </c>
      <c r="G6" t="s">
        <v>12</v>
      </c>
      <c r="H6" t="s">
        <v>13</v>
      </c>
    </row>
    <row r="7" spans="1:9" x14ac:dyDescent="0.3">
      <c r="A7" s="1">
        <v>2</v>
      </c>
      <c r="B7" t="s">
        <v>166</v>
      </c>
      <c r="C7" t="s">
        <v>26</v>
      </c>
      <c r="D7" t="s">
        <v>163</v>
      </c>
      <c r="E7" s="1" t="str">
        <f t="shared" si="0"/>
        <v>C</v>
      </c>
      <c r="F7" s="9" t="s">
        <v>273</v>
      </c>
      <c r="G7" t="s">
        <v>12</v>
      </c>
      <c r="H7" t="s">
        <v>13</v>
      </c>
    </row>
    <row r="8" spans="1:9" x14ac:dyDescent="0.3">
      <c r="A8" s="1">
        <v>1</v>
      </c>
      <c r="B8" t="s">
        <v>14</v>
      </c>
      <c r="C8" t="s">
        <v>15</v>
      </c>
      <c r="D8" t="s">
        <v>163</v>
      </c>
      <c r="E8" s="1" t="str">
        <f t="shared" si="0"/>
        <v>C</v>
      </c>
      <c r="F8" t="s">
        <v>266</v>
      </c>
      <c r="G8" t="s">
        <v>12</v>
      </c>
      <c r="H8" t="s">
        <v>16</v>
      </c>
    </row>
    <row r="9" spans="1:9" x14ac:dyDescent="0.3">
      <c r="A9" s="1">
        <v>4</v>
      </c>
      <c r="B9" t="s">
        <v>30</v>
      </c>
      <c r="C9" t="s">
        <v>31</v>
      </c>
      <c r="D9" t="s">
        <v>163</v>
      </c>
      <c r="E9" s="1" t="str">
        <f t="shared" si="0"/>
        <v>D</v>
      </c>
      <c r="F9" t="s">
        <v>196</v>
      </c>
      <c r="G9" t="s">
        <v>12</v>
      </c>
      <c r="H9" t="s">
        <v>32</v>
      </c>
    </row>
    <row r="10" spans="1:9" x14ac:dyDescent="0.3">
      <c r="A10" s="1">
        <v>4</v>
      </c>
      <c r="B10" t="s">
        <v>27</v>
      </c>
      <c r="C10" t="s">
        <v>28</v>
      </c>
      <c r="D10" t="s">
        <v>163</v>
      </c>
      <c r="E10" s="1" t="str">
        <f t="shared" si="0"/>
        <v>D</v>
      </c>
      <c r="F10" t="s">
        <v>28</v>
      </c>
      <c r="G10" t="s">
        <v>12</v>
      </c>
      <c r="H10" t="s">
        <v>29</v>
      </c>
    </row>
    <row r="11" spans="1:9" x14ac:dyDescent="0.3">
      <c r="A11" s="1">
        <v>2</v>
      </c>
      <c r="B11" t="s">
        <v>33</v>
      </c>
      <c r="C11" t="s">
        <v>34</v>
      </c>
      <c r="D11" t="s">
        <v>163</v>
      </c>
      <c r="E11" s="1" t="str">
        <f t="shared" si="0"/>
        <v>D</v>
      </c>
      <c r="F11" t="s">
        <v>196</v>
      </c>
      <c r="G11" t="s">
        <v>12</v>
      </c>
      <c r="H11" t="s">
        <v>32</v>
      </c>
    </row>
    <row r="12" spans="1:9" x14ac:dyDescent="0.3">
      <c r="A12" s="1">
        <v>2</v>
      </c>
      <c r="B12" t="s">
        <v>35</v>
      </c>
      <c r="C12" t="s">
        <v>36</v>
      </c>
      <c r="D12" t="s">
        <v>163</v>
      </c>
      <c r="E12" s="1" t="str">
        <f t="shared" si="0"/>
        <v>F</v>
      </c>
      <c r="F12" t="s">
        <v>36</v>
      </c>
      <c r="G12" t="s">
        <v>37</v>
      </c>
      <c r="H12" t="s">
        <v>38</v>
      </c>
    </row>
    <row r="13" spans="1:9" x14ac:dyDescent="0.3">
      <c r="A13" s="1">
        <v>1</v>
      </c>
      <c r="B13" t="s">
        <v>51</v>
      </c>
      <c r="C13" t="s">
        <v>52</v>
      </c>
      <c r="D13" t="s">
        <v>163</v>
      </c>
      <c r="E13" s="1" t="str">
        <f t="shared" si="0"/>
        <v>I</v>
      </c>
      <c r="F13" s="9" t="s">
        <v>279</v>
      </c>
      <c r="G13" t="s">
        <v>269</v>
      </c>
      <c r="H13" t="s">
        <v>50</v>
      </c>
    </row>
    <row r="14" spans="1:9" x14ac:dyDescent="0.3">
      <c r="A14" s="1">
        <v>1</v>
      </c>
      <c r="B14" t="s">
        <v>43</v>
      </c>
      <c r="C14" t="s">
        <v>165</v>
      </c>
      <c r="D14" t="s">
        <v>163</v>
      </c>
      <c r="E14" s="1" t="str">
        <f t="shared" si="0"/>
        <v>I</v>
      </c>
      <c r="F14" s="9" t="s">
        <v>278</v>
      </c>
      <c r="G14" t="s">
        <v>45</v>
      </c>
      <c r="H14" t="s">
        <v>164</v>
      </c>
    </row>
    <row r="15" spans="1:9" x14ac:dyDescent="0.3">
      <c r="A15" s="1">
        <v>1</v>
      </c>
      <c r="B15" t="s">
        <v>39</v>
      </c>
      <c r="C15" t="s">
        <v>40</v>
      </c>
      <c r="D15" t="s">
        <v>163</v>
      </c>
      <c r="E15" s="1" t="str">
        <f t="shared" si="0"/>
        <v>I</v>
      </c>
      <c r="F15" s="6" t="s">
        <v>202</v>
      </c>
      <c r="G15" t="s">
        <v>41</v>
      </c>
      <c r="H15" t="s">
        <v>42</v>
      </c>
    </row>
    <row r="16" spans="1:9" x14ac:dyDescent="0.3">
      <c r="A16" s="1">
        <v>2</v>
      </c>
      <c r="B16" t="s">
        <v>53</v>
      </c>
      <c r="C16" t="s">
        <v>54</v>
      </c>
      <c r="D16" t="s">
        <v>163</v>
      </c>
      <c r="E16" s="1" t="str">
        <f t="shared" si="0"/>
        <v>J</v>
      </c>
      <c r="F16" t="s">
        <v>238</v>
      </c>
      <c r="G16" t="s">
        <v>55</v>
      </c>
      <c r="H16" t="s">
        <v>56</v>
      </c>
    </row>
    <row r="17" spans="1:8" x14ac:dyDescent="0.3">
      <c r="A17" s="1">
        <v>1</v>
      </c>
      <c r="B17" t="s">
        <v>113</v>
      </c>
      <c r="C17" t="s">
        <v>114</v>
      </c>
      <c r="D17" t="s">
        <v>163</v>
      </c>
      <c r="E17" s="1" t="str">
        <f t="shared" si="0"/>
        <v>L</v>
      </c>
      <c r="F17" t="s">
        <v>114</v>
      </c>
      <c r="G17" t="s">
        <v>115</v>
      </c>
      <c r="H17" t="s">
        <v>116</v>
      </c>
    </row>
    <row r="18" spans="1:8" x14ac:dyDescent="0.3">
      <c r="A18" s="1">
        <v>1</v>
      </c>
      <c r="B18" t="s">
        <v>117</v>
      </c>
      <c r="C18" t="s">
        <v>118</v>
      </c>
      <c r="D18" t="s">
        <v>163</v>
      </c>
      <c r="E18" s="1" t="str">
        <f t="shared" si="0"/>
        <v>L</v>
      </c>
      <c r="F18" t="s">
        <v>118</v>
      </c>
      <c r="G18" t="s">
        <v>115</v>
      </c>
      <c r="H18" t="s">
        <v>116</v>
      </c>
    </row>
    <row r="19" spans="1:8" x14ac:dyDescent="0.3">
      <c r="A19" s="1">
        <v>1</v>
      </c>
      <c r="B19" t="s">
        <v>119</v>
      </c>
      <c r="C19" t="s">
        <v>120</v>
      </c>
      <c r="D19" t="s">
        <v>163</v>
      </c>
      <c r="E19" s="1" t="str">
        <f t="shared" si="0"/>
        <v>Q</v>
      </c>
      <c r="F19" t="s">
        <v>120</v>
      </c>
      <c r="G19" t="s">
        <v>121</v>
      </c>
      <c r="H19" t="s">
        <v>122</v>
      </c>
    </row>
    <row r="20" spans="1:8" x14ac:dyDescent="0.3">
      <c r="A20" s="1">
        <v>5</v>
      </c>
      <c r="B20" t="s">
        <v>136</v>
      </c>
      <c r="C20" t="s">
        <v>137</v>
      </c>
      <c r="D20" t="s">
        <v>163</v>
      </c>
      <c r="E20" s="1" t="str">
        <f t="shared" si="0"/>
        <v>R</v>
      </c>
      <c r="F20" t="s">
        <v>182</v>
      </c>
      <c r="H20" t="s">
        <v>125</v>
      </c>
    </row>
    <row r="21" spans="1:8" x14ac:dyDescent="0.3">
      <c r="A21" s="1">
        <v>1</v>
      </c>
      <c r="B21" t="s">
        <v>123</v>
      </c>
      <c r="C21" t="s">
        <v>124</v>
      </c>
      <c r="D21" t="s">
        <v>163</v>
      </c>
      <c r="E21" s="1" t="str">
        <f t="shared" si="0"/>
        <v>R</v>
      </c>
      <c r="F21" t="s">
        <v>225</v>
      </c>
      <c r="H21" t="s">
        <v>125</v>
      </c>
    </row>
    <row r="22" spans="1:8" x14ac:dyDescent="0.3">
      <c r="A22" s="1">
        <v>2</v>
      </c>
      <c r="B22" t="s">
        <v>126</v>
      </c>
      <c r="C22" t="s">
        <v>127</v>
      </c>
      <c r="D22" t="s">
        <v>163</v>
      </c>
      <c r="E22" s="1" t="str">
        <f t="shared" si="0"/>
        <v>R</v>
      </c>
      <c r="F22" t="s">
        <v>222</v>
      </c>
      <c r="H22" t="s">
        <v>125</v>
      </c>
    </row>
    <row r="23" spans="1:8" x14ac:dyDescent="0.3">
      <c r="A23" s="1">
        <v>1</v>
      </c>
      <c r="B23" t="s">
        <v>138</v>
      </c>
      <c r="C23" t="s">
        <v>139</v>
      </c>
      <c r="D23" t="s">
        <v>163</v>
      </c>
      <c r="E23" s="1" t="str">
        <f t="shared" si="0"/>
        <v>R</v>
      </c>
      <c r="F23" t="s">
        <v>263</v>
      </c>
      <c r="H23" t="s">
        <v>125</v>
      </c>
    </row>
    <row r="24" spans="1:8" x14ac:dyDescent="0.3">
      <c r="A24" s="1">
        <v>3</v>
      </c>
      <c r="B24" t="s">
        <v>130</v>
      </c>
      <c r="C24" t="s">
        <v>131</v>
      </c>
      <c r="D24" t="s">
        <v>163</v>
      </c>
      <c r="E24" s="1" t="str">
        <f t="shared" si="0"/>
        <v>R</v>
      </c>
      <c r="F24" t="s">
        <v>186</v>
      </c>
      <c r="H24" t="s">
        <v>125</v>
      </c>
    </row>
    <row r="25" spans="1:8" x14ac:dyDescent="0.3">
      <c r="A25" s="1">
        <v>1</v>
      </c>
      <c r="B25" t="s">
        <v>134</v>
      </c>
      <c r="C25" t="s">
        <v>135</v>
      </c>
      <c r="D25" t="s">
        <v>163</v>
      </c>
      <c r="E25" s="1" t="str">
        <f t="shared" si="0"/>
        <v>R</v>
      </c>
      <c r="F25" s="9" t="s">
        <v>275</v>
      </c>
      <c r="H25" t="s">
        <v>125</v>
      </c>
    </row>
    <row r="26" spans="1:8" x14ac:dyDescent="0.3">
      <c r="A26" s="1">
        <v>1</v>
      </c>
      <c r="B26" t="s">
        <v>140</v>
      </c>
      <c r="C26" t="s">
        <v>141</v>
      </c>
      <c r="D26" t="s">
        <v>163</v>
      </c>
      <c r="E26" s="1" t="str">
        <f t="shared" si="0"/>
        <v>R</v>
      </c>
      <c r="F26" s="9" t="s">
        <v>276</v>
      </c>
      <c r="H26" t="s">
        <v>125</v>
      </c>
    </row>
    <row r="27" spans="1:8" x14ac:dyDescent="0.3">
      <c r="A27" s="1">
        <v>1</v>
      </c>
      <c r="B27" t="s">
        <v>128</v>
      </c>
      <c r="C27" t="s">
        <v>129</v>
      </c>
      <c r="D27" t="s">
        <v>163</v>
      </c>
      <c r="E27" s="1" t="str">
        <f t="shared" si="0"/>
        <v>R</v>
      </c>
      <c r="F27" t="s">
        <v>219</v>
      </c>
      <c r="H27" t="s">
        <v>125</v>
      </c>
    </row>
    <row r="28" spans="1:8" x14ac:dyDescent="0.3">
      <c r="A28" s="1">
        <v>1</v>
      </c>
      <c r="B28" t="s">
        <v>132</v>
      </c>
      <c r="C28" t="s">
        <v>133</v>
      </c>
      <c r="D28" t="s">
        <v>163</v>
      </c>
      <c r="E28" s="1" t="str">
        <f t="shared" si="0"/>
        <v>R</v>
      </c>
      <c r="F28" s="9" t="s">
        <v>277</v>
      </c>
      <c r="H28" t="s">
        <v>125</v>
      </c>
    </row>
    <row r="29" spans="1:8" x14ac:dyDescent="0.3">
      <c r="A29" s="1">
        <v>1</v>
      </c>
      <c r="B29" t="s">
        <v>149</v>
      </c>
      <c r="C29" t="s">
        <v>150</v>
      </c>
      <c r="D29" t="s">
        <v>163</v>
      </c>
      <c r="E29" s="1" t="str">
        <f t="shared" si="0"/>
        <v>S</v>
      </c>
      <c r="F29" t="s">
        <v>248</v>
      </c>
      <c r="G29" t="s">
        <v>147</v>
      </c>
      <c r="H29" t="s">
        <v>148</v>
      </c>
    </row>
    <row r="30" spans="1:8" x14ac:dyDescent="0.3">
      <c r="A30" s="1">
        <v>1</v>
      </c>
      <c r="B30" t="s">
        <v>151</v>
      </c>
      <c r="C30" t="s">
        <v>152</v>
      </c>
      <c r="D30" t="s">
        <v>163</v>
      </c>
      <c r="E30" s="1" t="str">
        <f t="shared" si="0"/>
        <v>S</v>
      </c>
      <c r="F30" t="s">
        <v>248</v>
      </c>
      <c r="G30" t="s">
        <v>147</v>
      </c>
      <c r="H30" t="s">
        <v>148</v>
      </c>
    </row>
    <row r="31" spans="1:8" x14ac:dyDescent="0.3">
      <c r="A31" s="1">
        <v>1</v>
      </c>
      <c r="B31" t="s">
        <v>145</v>
      </c>
      <c r="C31" t="s">
        <v>146</v>
      </c>
      <c r="D31" t="s">
        <v>163</v>
      </c>
      <c r="E31" s="1" t="str">
        <f t="shared" si="0"/>
        <v>S</v>
      </c>
      <c r="F31" t="s">
        <v>248</v>
      </c>
      <c r="G31" t="s">
        <v>147</v>
      </c>
      <c r="H31" t="s">
        <v>148</v>
      </c>
    </row>
    <row r="32" spans="1:8" x14ac:dyDescent="0.3">
      <c r="A32" s="1">
        <v>1</v>
      </c>
      <c r="B32" t="s">
        <v>158</v>
      </c>
      <c r="C32" t="s">
        <v>159</v>
      </c>
      <c r="D32" t="s">
        <v>163</v>
      </c>
      <c r="E32" s="1" t="str">
        <f t="shared" si="0"/>
        <v>Y</v>
      </c>
      <c r="F32" t="s">
        <v>251</v>
      </c>
      <c r="G32" t="s">
        <v>160</v>
      </c>
      <c r="H32" t="s">
        <v>161</v>
      </c>
    </row>
    <row r="33" spans="1:8" x14ac:dyDescent="0.3">
      <c r="A33" s="1">
        <v>1</v>
      </c>
      <c r="B33" t="s">
        <v>6</v>
      </c>
      <c r="C33" t="s">
        <v>7</v>
      </c>
      <c r="E33" s="1" t="str">
        <f t="shared" si="0"/>
        <v>A</v>
      </c>
      <c r="G33" t="s">
        <v>8</v>
      </c>
      <c r="H33" t="s">
        <v>9</v>
      </c>
    </row>
    <row r="34" spans="1:8" x14ac:dyDescent="0.3">
      <c r="A34" s="1">
        <v>1</v>
      </c>
      <c r="B34" t="s">
        <v>86</v>
      </c>
      <c r="C34" t="s">
        <v>87</v>
      </c>
      <c r="E34" s="1" t="str">
        <f t="shared" ref="E34:E58" si="1">LEFT(B34,1)</f>
        <v>J</v>
      </c>
      <c r="F34" s="1"/>
      <c r="G34" t="s">
        <v>12</v>
      </c>
      <c r="H34" t="s">
        <v>85</v>
      </c>
    </row>
    <row r="35" spans="1:8" x14ac:dyDescent="0.3">
      <c r="A35" s="1">
        <v>1</v>
      </c>
      <c r="B35" t="s">
        <v>83</v>
      </c>
      <c r="C35" t="s">
        <v>84</v>
      </c>
      <c r="E35" s="1" t="str">
        <f t="shared" si="1"/>
        <v>J</v>
      </c>
      <c r="F35" s="1"/>
      <c r="G35" t="s">
        <v>12</v>
      </c>
      <c r="H35" t="s">
        <v>85</v>
      </c>
    </row>
    <row r="36" spans="1:8" x14ac:dyDescent="0.3">
      <c r="A36" s="1">
        <v>3</v>
      </c>
      <c r="B36" t="s">
        <v>111</v>
      </c>
      <c r="C36" t="s">
        <v>112</v>
      </c>
      <c r="E36" s="1" t="str">
        <f t="shared" si="1"/>
        <v>J</v>
      </c>
      <c r="F36" s="1"/>
      <c r="H36" t="s">
        <v>110</v>
      </c>
    </row>
    <row r="37" spans="1:8" x14ac:dyDescent="0.3">
      <c r="A37" s="1">
        <v>1</v>
      </c>
      <c r="B37" t="s">
        <v>93</v>
      </c>
      <c r="C37" t="s">
        <v>94</v>
      </c>
      <c r="E37" s="1" t="str">
        <f t="shared" si="1"/>
        <v>J</v>
      </c>
      <c r="F37" s="1"/>
      <c r="G37" t="s">
        <v>12</v>
      </c>
      <c r="H37" t="s">
        <v>59</v>
      </c>
    </row>
    <row r="38" spans="1:8" x14ac:dyDescent="0.3">
      <c r="A38" s="1">
        <v>1</v>
      </c>
      <c r="B38" t="s">
        <v>88</v>
      </c>
      <c r="C38" t="s">
        <v>89</v>
      </c>
      <c r="E38" s="1" t="str">
        <f t="shared" si="1"/>
        <v>J</v>
      </c>
      <c r="F38" s="1"/>
      <c r="G38" t="s">
        <v>12</v>
      </c>
      <c r="H38" t="s">
        <v>90</v>
      </c>
    </row>
    <row r="39" spans="1:8" x14ac:dyDescent="0.3">
      <c r="A39" s="1">
        <v>1</v>
      </c>
      <c r="B39" t="s">
        <v>66</v>
      </c>
      <c r="C39" t="s">
        <v>67</v>
      </c>
      <c r="E39" s="1" t="str">
        <f t="shared" si="1"/>
        <v>J</v>
      </c>
      <c r="F39" s="1"/>
      <c r="G39" t="s">
        <v>12</v>
      </c>
      <c r="H39" t="s">
        <v>65</v>
      </c>
    </row>
    <row r="40" spans="1:8" x14ac:dyDescent="0.3">
      <c r="A40" s="1">
        <v>2</v>
      </c>
      <c r="B40" t="s">
        <v>74</v>
      </c>
      <c r="C40" t="s">
        <v>75</v>
      </c>
      <c r="E40" s="1" t="str">
        <f t="shared" si="1"/>
        <v>J</v>
      </c>
      <c r="F40" s="1"/>
      <c r="G40" t="s">
        <v>12</v>
      </c>
      <c r="H40" t="s">
        <v>76</v>
      </c>
    </row>
    <row r="41" spans="1:8" x14ac:dyDescent="0.3">
      <c r="A41" s="1">
        <v>2</v>
      </c>
      <c r="B41" t="s">
        <v>71</v>
      </c>
      <c r="C41" t="s">
        <v>72</v>
      </c>
      <c r="E41" s="1" t="str">
        <f t="shared" si="1"/>
        <v>J</v>
      </c>
      <c r="F41" s="1"/>
      <c r="G41" t="s">
        <v>12</v>
      </c>
      <c r="H41" t="s">
        <v>73</v>
      </c>
    </row>
    <row r="42" spans="1:8" x14ac:dyDescent="0.3">
      <c r="A42" s="1">
        <v>1</v>
      </c>
      <c r="B42" t="s">
        <v>60</v>
      </c>
      <c r="C42" t="s">
        <v>61</v>
      </c>
      <c r="E42" s="1" t="str">
        <f t="shared" si="1"/>
        <v>J</v>
      </c>
      <c r="F42" s="1"/>
      <c r="G42" t="s">
        <v>12</v>
      </c>
      <c r="H42" t="s">
        <v>62</v>
      </c>
    </row>
    <row r="43" spans="1:8" x14ac:dyDescent="0.3">
      <c r="A43" s="1">
        <v>1</v>
      </c>
      <c r="B43" t="s">
        <v>68</v>
      </c>
      <c r="C43" t="s">
        <v>69</v>
      </c>
      <c r="E43" s="1" t="str">
        <f t="shared" si="1"/>
        <v>J</v>
      </c>
      <c r="F43" s="1"/>
      <c r="G43" t="s">
        <v>12</v>
      </c>
      <c r="H43" t="s">
        <v>70</v>
      </c>
    </row>
    <row r="44" spans="1:8" x14ac:dyDescent="0.3">
      <c r="A44" s="1">
        <v>1</v>
      </c>
      <c r="B44" t="s">
        <v>95</v>
      </c>
      <c r="C44" t="s">
        <v>96</v>
      </c>
      <c r="E44" s="1" t="str">
        <f t="shared" si="1"/>
        <v>J</v>
      </c>
      <c r="F44" s="1"/>
      <c r="G44" t="s">
        <v>12</v>
      </c>
      <c r="H44" t="s">
        <v>82</v>
      </c>
    </row>
    <row r="45" spans="1:8" x14ac:dyDescent="0.3">
      <c r="A45" s="1">
        <v>1</v>
      </c>
      <c r="B45" t="s">
        <v>80</v>
      </c>
      <c r="C45" t="s">
        <v>81</v>
      </c>
      <c r="E45" s="1" t="str">
        <f t="shared" si="1"/>
        <v>J</v>
      </c>
      <c r="F45" s="1"/>
      <c r="G45" t="s">
        <v>12</v>
      </c>
      <c r="H45" t="s">
        <v>82</v>
      </c>
    </row>
    <row r="46" spans="1:8" x14ac:dyDescent="0.3">
      <c r="A46" s="1">
        <v>1</v>
      </c>
      <c r="B46" t="s">
        <v>63</v>
      </c>
      <c r="C46" t="s">
        <v>64</v>
      </c>
      <c r="E46" s="1" t="str">
        <f t="shared" si="1"/>
        <v>J</v>
      </c>
      <c r="F46" s="1"/>
      <c r="G46" t="s">
        <v>12</v>
      </c>
      <c r="H46" t="s">
        <v>65</v>
      </c>
    </row>
    <row r="47" spans="1:8" x14ac:dyDescent="0.3">
      <c r="A47" s="1">
        <v>1</v>
      </c>
      <c r="B47" t="s">
        <v>106</v>
      </c>
      <c r="C47" t="s">
        <v>107</v>
      </c>
      <c r="E47" s="1" t="str">
        <f t="shared" si="1"/>
        <v>J</v>
      </c>
      <c r="F47" s="1"/>
      <c r="H47" t="s">
        <v>99</v>
      </c>
    </row>
    <row r="48" spans="1:8" x14ac:dyDescent="0.3">
      <c r="A48" s="1">
        <v>1</v>
      </c>
      <c r="B48" t="s">
        <v>102</v>
      </c>
      <c r="C48" t="s">
        <v>103</v>
      </c>
      <c r="E48" s="1" t="str">
        <f t="shared" si="1"/>
        <v>J</v>
      </c>
      <c r="F48" s="1"/>
      <c r="H48" t="s">
        <v>99</v>
      </c>
    </row>
    <row r="49" spans="1:8" x14ac:dyDescent="0.3">
      <c r="A49" s="1">
        <v>1</v>
      </c>
      <c r="B49" t="s">
        <v>97</v>
      </c>
      <c r="C49" t="s">
        <v>98</v>
      </c>
      <c r="E49" s="1" t="str">
        <f t="shared" si="1"/>
        <v>J</v>
      </c>
      <c r="F49" s="1"/>
      <c r="H49" t="s">
        <v>99</v>
      </c>
    </row>
    <row r="50" spans="1:8" x14ac:dyDescent="0.3">
      <c r="A50" s="1">
        <v>1</v>
      </c>
      <c r="B50" t="s">
        <v>104</v>
      </c>
      <c r="C50" t="s">
        <v>105</v>
      </c>
      <c r="E50" s="1" t="str">
        <f t="shared" si="1"/>
        <v>J</v>
      </c>
      <c r="F50" s="1"/>
      <c r="H50" t="s">
        <v>99</v>
      </c>
    </row>
    <row r="51" spans="1:8" x14ac:dyDescent="0.3">
      <c r="A51" s="1">
        <v>1</v>
      </c>
      <c r="B51" t="s">
        <v>100</v>
      </c>
      <c r="C51" t="s">
        <v>101</v>
      </c>
      <c r="E51" s="1" t="str">
        <f t="shared" si="1"/>
        <v>J</v>
      </c>
      <c r="F51" s="1"/>
      <c r="H51" t="s">
        <v>99</v>
      </c>
    </row>
    <row r="52" spans="1:8" x14ac:dyDescent="0.3">
      <c r="A52" s="1">
        <v>3</v>
      </c>
      <c r="B52" t="s">
        <v>57</v>
      </c>
      <c r="C52" t="s">
        <v>58</v>
      </c>
      <c r="E52" s="1" t="str">
        <f t="shared" si="1"/>
        <v>J</v>
      </c>
      <c r="F52" s="1"/>
      <c r="G52" t="s">
        <v>12</v>
      </c>
      <c r="H52" t="s">
        <v>59</v>
      </c>
    </row>
    <row r="53" spans="1:8" x14ac:dyDescent="0.3">
      <c r="A53" s="1">
        <v>1</v>
      </c>
      <c r="B53" t="s">
        <v>91</v>
      </c>
      <c r="C53" t="s">
        <v>92</v>
      </c>
      <c r="E53" s="1" t="str">
        <f t="shared" si="1"/>
        <v>J</v>
      </c>
      <c r="F53" s="1"/>
      <c r="G53" t="s">
        <v>12</v>
      </c>
      <c r="H53" t="s">
        <v>79</v>
      </c>
    </row>
    <row r="54" spans="1:8" x14ac:dyDescent="0.3">
      <c r="A54" s="1">
        <v>1</v>
      </c>
      <c r="B54" t="s">
        <v>77</v>
      </c>
      <c r="C54" t="s">
        <v>78</v>
      </c>
      <c r="E54" s="1" t="str">
        <f t="shared" si="1"/>
        <v>J</v>
      </c>
      <c r="F54" s="1"/>
      <c r="G54" t="s">
        <v>12</v>
      </c>
      <c r="H54" t="s">
        <v>79</v>
      </c>
    </row>
    <row r="55" spans="1:8" x14ac:dyDescent="0.3">
      <c r="A55" s="1">
        <v>1</v>
      </c>
      <c r="B55" t="s">
        <v>108</v>
      </c>
      <c r="C55" t="s">
        <v>109</v>
      </c>
      <c r="E55" s="1" t="str">
        <f t="shared" si="1"/>
        <v>J</v>
      </c>
      <c r="F55" s="1"/>
      <c r="H55" t="s">
        <v>110</v>
      </c>
    </row>
    <row r="56" spans="1:8" x14ac:dyDescent="0.3">
      <c r="A56" s="1">
        <v>1</v>
      </c>
      <c r="B56" t="s">
        <v>142</v>
      </c>
      <c r="C56" t="s">
        <v>143</v>
      </c>
      <c r="E56" s="1" t="str">
        <f t="shared" si="1"/>
        <v>R</v>
      </c>
      <c r="F56" s="1"/>
      <c r="H56" t="s">
        <v>144</v>
      </c>
    </row>
    <row r="57" spans="1:8" x14ac:dyDescent="0.3">
      <c r="A57" s="1">
        <v>1</v>
      </c>
      <c r="B57" t="s">
        <v>153</v>
      </c>
      <c r="C57" t="s">
        <v>154</v>
      </c>
      <c r="E57" s="1" t="str">
        <f t="shared" si="1"/>
        <v>T</v>
      </c>
      <c r="F57" s="1"/>
      <c r="G57" t="s">
        <v>12</v>
      </c>
      <c r="H57" t="s">
        <v>155</v>
      </c>
    </row>
    <row r="58" spans="1:8" x14ac:dyDescent="0.3">
      <c r="A58" s="1">
        <v>1</v>
      </c>
      <c r="B58" t="s">
        <v>156</v>
      </c>
      <c r="C58" t="s">
        <v>157</v>
      </c>
      <c r="E58" s="1" t="str">
        <f t="shared" si="1"/>
        <v>T</v>
      </c>
      <c r="F58" s="1"/>
      <c r="G58" t="s">
        <v>12</v>
      </c>
      <c r="H58" t="s">
        <v>155</v>
      </c>
    </row>
  </sheetData>
  <sortState xmlns:xlrd2="http://schemas.microsoft.com/office/spreadsheetml/2017/richdata2" ref="A2:I58">
    <sortCondition ref="D2:D58"/>
    <sortCondition ref="E2:E58"/>
    <sortCondition ref="C2:C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5B37-0BED-4DD7-AA93-81F9D65A9161}">
  <dimension ref="A1:I56"/>
  <sheetViews>
    <sheetView workbookViewId="0">
      <selection activeCell="G13" sqref="G13"/>
    </sheetView>
  </sheetViews>
  <sheetFormatPr defaultRowHeight="14.4" x14ac:dyDescent="0.3"/>
  <cols>
    <col min="1" max="1" width="8.88671875" style="1"/>
    <col min="2" max="2" width="22.88671875" customWidth="1"/>
    <col min="3" max="3" width="26" customWidth="1"/>
    <col min="4" max="4" width="14.33203125" customWidth="1"/>
    <col min="5" max="5" width="11.109375" style="1" customWidth="1"/>
    <col min="6" max="6" width="22.33203125" style="1" customWidth="1"/>
    <col min="7" max="7" width="32.77734375" customWidth="1"/>
    <col min="8" max="8" width="27.109375" customWidth="1"/>
  </cols>
  <sheetData>
    <row r="1" spans="1:9" s="3" customFormat="1" x14ac:dyDescent="0.3">
      <c r="A1" s="2" t="s">
        <v>4</v>
      </c>
      <c r="B1" s="3" t="s">
        <v>0</v>
      </c>
      <c r="C1" s="3" t="s">
        <v>1</v>
      </c>
      <c r="D1" s="3" t="s">
        <v>168</v>
      </c>
      <c r="E1" s="2" t="s">
        <v>169</v>
      </c>
      <c r="F1" s="2" t="s">
        <v>271</v>
      </c>
      <c r="G1" s="3" t="s">
        <v>2</v>
      </c>
      <c r="H1" s="3" t="s">
        <v>3</v>
      </c>
      <c r="I1" s="3" t="s">
        <v>5</v>
      </c>
    </row>
    <row r="2" spans="1:9" x14ac:dyDescent="0.3">
      <c r="A2" s="1">
        <v>2</v>
      </c>
      <c r="B2" t="s">
        <v>10</v>
      </c>
      <c r="C2" t="s">
        <v>11</v>
      </c>
      <c r="D2" t="s">
        <v>163</v>
      </c>
      <c r="E2" s="1" t="str">
        <f t="shared" ref="E2:E33" si="0">LEFT(B2,1)</f>
        <v>C</v>
      </c>
      <c r="F2" t="s">
        <v>231</v>
      </c>
      <c r="G2" t="s">
        <v>12</v>
      </c>
      <c r="H2" t="s">
        <v>13</v>
      </c>
    </row>
    <row r="3" spans="1:9" x14ac:dyDescent="0.3">
      <c r="A3" s="1">
        <v>2</v>
      </c>
      <c r="B3" t="s">
        <v>167</v>
      </c>
      <c r="C3" t="s">
        <v>20</v>
      </c>
      <c r="D3" t="s">
        <v>163</v>
      </c>
      <c r="E3" s="1" t="str">
        <f t="shared" si="0"/>
        <v>C</v>
      </c>
      <c r="F3" t="s">
        <v>231</v>
      </c>
      <c r="G3" t="s">
        <v>12</v>
      </c>
      <c r="H3" t="s">
        <v>13</v>
      </c>
    </row>
    <row r="4" spans="1:9" x14ac:dyDescent="0.3">
      <c r="A4" s="1">
        <v>1</v>
      </c>
      <c r="B4" t="s">
        <v>21</v>
      </c>
      <c r="C4" t="s">
        <v>22</v>
      </c>
      <c r="D4" t="s">
        <v>163</v>
      </c>
      <c r="E4" s="1" t="str">
        <f t="shared" si="0"/>
        <v>C</v>
      </c>
      <c r="F4" t="s">
        <v>257</v>
      </c>
      <c r="G4" t="s">
        <v>12</v>
      </c>
      <c r="H4" t="s">
        <v>13</v>
      </c>
    </row>
    <row r="5" spans="1:9" x14ac:dyDescent="0.3">
      <c r="A5" s="1">
        <v>7</v>
      </c>
      <c r="B5" t="s">
        <v>17</v>
      </c>
      <c r="C5" t="s">
        <v>18</v>
      </c>
      <c r="D5" t="s">
        <v>163</v>
      </c>
      <c r="E5" s="1" t="str">
        <f t="shared" si="0"/>
        <v>C</v>
      </c>
      <c r="F5" t="s">
        <v>254</v>
      </c>
      <c r="G5" t="s">
        <v>12</v>
      </c>
      <c r="H5" t="s">
        <v>13</v>
      </c>
    </row>
    <row r="6" spans="1:9" x14ac:dyDescent="0.3">
      <c r="A6" s="1">
        <v>1</v>
      </c>
      <c r="B6" t="s">
        <v>25</v>
      </c>
      <c r="C6" t="s">
        <v>26</v>
      </c>
      <c r="D6" t="s">
        <v>163</v>
      </c>
      <c r="E6" s="1" t="str">
        <f t="shared" si="0"/>
        <v>C</v>
      </c>
      <c r="F6" s="9" t="s">
        <v>273</v>
      </c>
      <c r="G6" t="s">
        <v>12</v>
      </c>
      <c r="H6" t="s">
        <v>13</v>
      </c>
    </row>
    <row r="7" spans="1:9" x14ac:dyDescent="0.3">
      <c r="A7" s="1">
        <v>1</v>
      </c>
      <c r="B7" t="s">
        <v>14</v>
      </c>
      <c r="C7" t="s">
        <v>15</v>
      </c>
      <c r="D7" t="s">
        <v>163</v>
      </c>
      <c r="E7" s="1" t="str">
        <f t="shared" si="0"/>
        <v>C</v>
      </c>
      <c r="F7" t="s">
        <v>266</v>
      </c>
      <c r="G7" t="s">
        <v>12</v>
      </c>
      <c r="H7" t="s">
        <v>16</v>
      </c>
    </row>
    <row r="8" spans="1:9" x14ac:dyDescent="0.3">
      <c r="A8" s="1">
        <v>4</v>
      </c>
      <c r="B8" t="s">
        <v>30</v>
      </c>
      <c r="C8" t="s">
        <v>31</v>
      </c>
      <c r="D8" t="s">
        <v>163</v>
      </c>
      <c r="E8" s="1" t="str">
        <f t="shared" si="0"/>
        <v>D</v>
      </c>
      <c r="F8" t="s">
        <v>196</v>
      </c>
      <c r="G8" t="s">
        <v>12</v>
      </c>
      <c r="H8" t="s">
        <v>32</v>
      </c>
    </row>
    <row r="9" spans="1:9" x14ac:dyDescent="0.3">
      <c r="A9" s="1">
        <v>4</v>
      </c>
      <c r="B9" t="s">
        <v>27</v>
      </c>
      <c r="C9" t="s">
        <v>28</v>
      </c>
      <c r="D9" t="s">
        <v>163</v>
      </c>
      <c r="E9" s="1" t="str">
        <f t="shared" si="0"/>
        <v>D</v>
      </c>
      <c r="F9" t="s">
        <v>28</v>
      </c>
      <c r="G9" t="s">
        <v>12</v>
      </c>
      <c r="H9" t="s">
        <v>29</v>
      </c>
    </row>
    <row r="10" spans="1:9" x14ac:dyDescent="0.3">
      <c r="A10" s="1">
        <v>2</v>
      </c>
      <c r="B10" t="s">
        <v>33</v>
      </c>
      <c r="C10" t="s">
        <v>34</v>
      </c>
      <c r="D10" t="s">
        <v>163</v>
      </c>
      <c r="E10" s="1" t="str">
        <f t="shared" si="0"/>
        <v>D</v>
      </c>
      <c r="F10" t="s">
        <v>196</v>
      </c>
      <c r="G10" t="s">
        <v>12</v>
      </c>
      <c r="H10" t="s">
        <v>32</v>
      </c>
    </row>
    <row r="11" spans="1:9" x14ac:dyDescent="0.3">
      <c r="A11" s="1">
        <v>2</v>
      </c>
      <c r="B11" t="s">
        <v>35</v>
      </c>
      <c r="C11" t="s">
        <v>36</v>
      </c>
      <c r="D11" t="s">
        <v>163</v>
      </c>
      <c r="E11" s="1" t="str">
        <f t="shared" si="0"/>
        <v>F</v>
      </c>
      <c r="F11" t="s">
        <v>36</v>
      </c>
      <c r="G11" t="s">
        <v>37</v>
      </c>
      <c r="H11" t="s">
        <v>38</v>
      </c>
    </row>
    <row r="12" spans="1:9" x14ac:dyDescent="0.3">
      <c r="A12" s="1">
        <v>1</v>
      </c>
      <c r="B12" t="s">
        <v>51</v>
      </c>
      <c r="C12" t="s">
        <v>52</v>
      </c>
      <c r="D12" t="s">
        <v>163</v>
      </c>
      <c r="E12" s="1" t="str">
        <f t="shared" si="0"/>
        <v>I</v>
      </c>
      <c r="F12" s="9" t="s">
        <v>279</v>
      </c>
      <c r="G12" t="s">
        <v>269</v>
      </c>
      <c r="H12" t="s">
        <v>50</v>
      </c>
    </row>
    <row r="13" spans="1:9" x14ac:dyDescent="0.3">
      <c r="A13" s="1">
        <v>1</v>
      </c>
      <c r="B13" t="s">
        <v>47</v>
      </c>
      <c r="C13" t="s">
        <v>48</v>
      </c>
      <c r="D13" t="s">
        <v>163</v>
      </c>
      <c r="E13" s="1" t="str">
        <f t="shared" si="0"/>
        <v>I</v>
      </c>
      <c r="F13" s="9" t="s">
        <v>274</v>
      </c>
      <c r="H13" t="s">
        <v>50</v>
      </c>
    </row>
    <row r="14" spans="1:9" x14ac:dyDescent="0.3">
      <c r="A14" s="1">
        <v>1</v>
      </c>
      <c r="B14" t="s">
        <v>39</v>
      </c>
      <c r="C14" t="s">
        <v>40</v>
      </c>
      <c r="D14" t="s">
        <v>163</v>
      </c>
      <c r="E14" s="1" t="str">
        <f t="shared" si="0"/>
        <v>I</v>
      </c>
      <c r="F14" t="s">
        <v>40</v>
      </c>
      <c r="G14" t="s">
        <v>41</v>
      </c>
      <c r="H14" t="s">
        <v>42</v>
      </c>
    </row>
    <row r="15" spans="1:9" x14ac:dyDescent="0.3">
      <c r="A15" s="1">
        <v>1</v>
      </c>
      <c r="B15" t="s">
        <v>113</v>
      </c>
      <c r="C15" t="s">
        <v>114</v>
      </c>
      <c r="D15" t="s">
        <v>163</v>
      </c>
      <c r="E15" s="1" t="str">
        <f t="shared" si="0"/>
        <v>L</v>
      </c>
      <c r="F15" t="s">
        <v>114</v>
      </c>
      <c r="G15" t="s">
        <v>115</v>
      </c>
      <c r="H15" t="s">
        <v>116</v>
      </c>
    </row>
    <row r="16" spans="1:9" x14ac:dyDescent="0.3">
      <c r="A16" s="1">
        <v>1</v>
      </c>
      <c r="B16" t="s">
        <v>117</v>
      </c>
      <c r="C16" t="s">
        <v>118</v>
      </c>
      <c r="D16" t="s">
        <v>163</v>
      </c>
      <c r="E16" s="1" t="str">
        <f t="shared" si="0"/>
        <v>L</v>
      </c>
      <c r="F16" t="s">
        <v>118</v>
      </c>
      <c r="G16" t="s">
        <v>115</v>
      </c>
      <c r="H16" t="s">
        <v>116</v>
      </c>
    </row>
    <row r="17" spans="1:8" x14ac:dyDescent="0.3">
      <c r="A17" s="1">
        <v>1</v>
      </c>
      <c r="B17" t="s">
        <v>119</v>
      </c>
      <c r="C17" t="s">
        <v>120</v>
      </c>
      <c r="D17" t="s">
        <v>163</v>
      </c>
      <c r="E17" s="1" t="str">
        <f t="shared" si="0"/>
        <v>Q</v>
      </c>
      <c r="F17" t="s">
        <v>120</v>
      </c>
      <c r="G17" t="s">
        <v>121</v>
      </c>
      <c r="H17" t="s">
        <v>122</v>
      </c>
    </row>
    <row r="18" spans="1:8" x14ac:dyDescent="0.3">
      <c r="A18" s="1">
        <v>5</v>
      </c>
      <c r="B18" t="s">
        <v>136</v>
      </c>
      <c r="C18" t="s">
        <v>137</v>
      </c>
      <c r="D18" t="s">
        <v>163</v>
      </c>
      <c r="E18" s="1" t="str">
        <f t="shared" si="0"/>
        <v>R</v>
      </c>
      <c r="F18" t="s">
        <v>182</v>
      </c>
      <c r="H18" t="s">
        <v>125</v>
      </c>
    </row>
    <row r="19" spans="1:8" x14ac:dyDescent="0.3">
      <c r="A19" s="1">
        <v>1</v>
      </c>
      <c r="B19" t="s">
        <v>123</v>
      </c>
      <c r="C19" t="s">
        <v>124</v>
      </c>
      <c r="D19" t="s">
        <v>163</v>
      </c>
      <c r="E19" s="1" t="str">
        <f t="shared" si="0"/>
        <v>R</v>
      </c>
      <c r="F19" t="s">
        <v>225</v>
      </c>
      <c r="H19" t="s">
        <v>125</v>
      </c>
    </row>
    <row r="20" spans="1:8" x14ac:dyDescent="0.3">
      <c r="A20" s="1">
        <v>2</v>
      </c>
      <c r="B20" t="s">
        <v>126</v>
      </c>
      <c r="C20" t="s">
        <v>127</v>
      </c>
      <c r="D20" t="s">
        <v>163</v>
      </c>
      <c r="E20" s="1" t="str">
        <f t="shared" si="0"/>
        <v>R</v>
      </c>
      <c r="F20" t="s">
        <v>222</v>
      </c>
      <c r="H20" t="s">
        <v>125</v>
      </c>
    </row>
    <row r="21" spans="1:8" x14ac:dyDescent="0.3">
      <c r="A21" s="1">
        <v>1</v>
      </c>
      <c r="B21" t="s">
        <v>138</v>
      </c>
      <c r="C21" t="s">
        <v>139</v>
      </c>
      <c r="D21" t="s">
        <v>163</v>
      </c>
      <c r="E21" s="1" t="str">
        <f t="shared" si="0"/>
        <v>R</v>
      </c>
      <c r="F21" t="s">
        <v>263</v>
      </c>
      <c r="H21" t="s">
        <v>125</v>
      </c>
    </row>
    <row r="22" spans="1:8" x14ac:dyDescent="0.3">
      <c r="A22" s="1">
        <v>3</v>
      </c>
      <c r="B22" t="s">
        <v>130</v>
      </c>
      <c r="C22" t="s">
        <v>131</v>
      </c>
      <c r="D22" t="s">
        <v>163</v>
      </c>
      <c r="E22" s="1" t="str">
        <f t="shared" si="0"/>
        <v>R</v>
      </c>
      <c r="F22" t="s">
        <v>186</v>
      </c>
      <c r="H22" t="s">
        <v>125</v>
      </c>
    </row>
    <row r="23" spans="1:8" x14ac:dyDescent="0.3">
      <c r="A23" s="1">
        <v>1</v>
      </c>
      <c r="B23" t="s">
        <v>134</v>
      </c>
      <c r="C23" t="s">
        <v>135</v>
      </c>
      <c r="D23" t="s">
        <v>163</v>
      </c>
      <c r="E23" s="1" t="str">
        <f t="shared" si="0"/>
        <v>R</v>
      </c>
      <c r="F23" s="9" t="s">
        <v>275</v>
      </c>
      <c r="H23" t="s">
        <v>125</v>
      </c>
    </row>
    <row r="24" spans="1:8" x14ac:dyDescent="0.3">
      <c r="A24" s="1">
        <v>1</v>
      </c>
      <c r="B24" t="s">
        <v>140</v>
      </c>
      <c r="C24" t="s">
        <v>141</v>
      </c>
      <c r="D24" t="s">
        <v>163</v>
      </c>
      <c r="E24" s="1" t="str">
        <f t="shared" si="0"/>
        <v>R</v>
      </c>
      <c r="F24" s="9" t="s">
        <v>276</v>
      </c>
      <c r="H24" t="s">
        <v>125</v>
      </c>
    </row>
    <row r="25" spans="1:8" x14ac:dyDescent="0.3">
      <c r="A25" s="1">
        <v>1</v>
      </c>
      <c r="B25" t="s">
        <v>128</v>
      </c>
      <c r="C25" t="s">
        <v>129</v>
      </c>
      <c r="D25" t="s">
        <v>163</v>
      </c>
      <c r="E25" s="1" t="str">
        <f t="shared" si="0"/>
        <v>R</v>
      </c>
      <c r="F25" t="s">
        <v>219</v>
      </c>
      <c r="H25" t="s">
        <v>125</v>
      </c>
    </row>
    <row r="26" spans="1:8" x14ac:dyDescent="0.3">
      <c r="A26" s="1">
        <v>1</v>
      </c>
      <c r="B26" t="s">
        <v>132</v>
      </c>
      <c r="C26" t="s">
        <v>133</v>
      </c>
      <c r="D26" t="s">
        <v>163</v>
      </c>
      <c r="E26" s="1" t="str">
        <f t="shared" si="0"/>
        <v>R</v>
      </c>
      <c r="F26" s="9" t="s">
        <v>277</v>
      </c>
      <c r="H26" t="s">
        <v>125</v>
      </c>
    </row>
    <row r="27" spans="1:8" x14ac:dyDescent="0.3">
      <c r="A27" s="1">
        <v>1</v>
      </c>
      <c r="B27" t="s">
        <v>149</v>
      </c>
      <c r="C27" t="s">
        <v>150</v>
      </c>
      <c r="D27" t="s">
        <v>163</v>
      </c>
      <c r="E27" s="1" t="str">
        <f t="shared" si="0"/>
        <v>S</v>
      </c>
      <c r="F27" t="s">
        <v>248</v>
      </c>
      <c r="G27" t="s">
        <v>147</v>
      </c>
      <c r="H27" t="s">
        <v>148</v>
      </c>
    </row>
    <row r="28" spans="1:8" x14ac:dyDescent="0.3">
      <c r="A28" s="1">
        <v>1</v>
      </c>
      <c r="B28" t="s">
        <v>151</v>
      </c>
      <c r="C28" t="s">
        <v>152</v>
      </c>
      <c r="D28" t="s">
        <v>163</v>
      </c>
      <c r="E28" s="1" t="str">
        <f t="shared" si="0"/>
        <v>S</v>
      </c>
      <c r="F28" t="s">
        <v>248</v>
      </c>
      <c r="G28" t="s">
        <v>147</v>
      </c>
      <c r="H28" t="s">
        <v>148</v>
      </c>
    </row>
    <row r="29" spans="1:8" x14ac:dyDescent="0.3">
      <c r="A29" s="1">
        <v>1</v>
      </c>
      <c r="B29" t="s">
        <v>145</v>
      </c>
      <c r="C29" t="s">
        <v>146</v>
      </c>
      <c r="D29" t="s">
        <v>163</v>
      </c>
      <c r="E29" s="1" t="str">
        <f t="shared" si="0"/>
        <v>S</v>
      </c>
      <c r="F29" t="s">
        <v>248</v>
      </c>
      <c r="G29" t="s">
        <v>147</v>
      </c>
      <c r="H29" t="s">
        <v>148</v>
      </c>
    </row>
    <row r="30" spans="1:8" x14ac:dyDescent="0.3">
      <c r="A30" s="1">
        <v>1</v>
      </c>
      <c r="B30" t="s">
        <v>6</v>
      </c>
      <c r="C30" t="s">
        <v>7</v>
      </c>
      <c r="E30" s="1" t="str">
        <f t="shared" si="0"/>
        <v>A</v>
      </c>
      <c r="F30"/>
      <c r="G30" t="s">
        <v>8</v>
      </c>
      <c r="H30" t="s">
        <v>9</v>
      </c>
    </row>
    <row r="31" spans="1:8" x14ac:dyDescent="0.3">
      <c r="A31" s="1">
        <v>1</v>
      </c>
      <c r="B31" t="s">
        <v>86</v>
      </c>
      <c r="C31" t="s">
        <v>87</v>
      </c>
      <c r="E31" s="1" t="str">
        <f t="shared" si="0"/>
        <v>J</v>
      </c>
      <c r="G31" t="s">
        <v>12</v>
      </c>
      <c r="H31" t="s">
        <v>85</v>
      </c>
    </row>
    <row r="32" spans="1:8" x14ac:dyDescent="0.3">
      <c r="A32" s="1">
        <v>1</v>
      </c>
      <c r="B32" t="s">
        <v>83</v>
      </c>
      <c r="C32" t="s">
        <v>84</v>
      </c>
      <c r="E32" s="1" t="str">
        <f t="shared" si="0"/>
        <v>J</v>
      </c>
      <c r="G32" t="s">
        <v>12</v>
      </c>
      <c r="H32" t="s">
        <v>85</v>
      </c>
    </row>
    <row r="33" spans="1:8" x14ac:dyDescent="0.3">
      <c r="A33" s="1">
        <v>3</v>
      </c>
      <c r="B33" t="s">
        <v>111</v>
      </c>
      <c r="C33" t="s">
        <v>112</v>
      </c>
      <c r="E33" s="1" t="str">
        <f t="shared" si="0"/>
        <v>J</v>
      </c>
      <c r="H33" t="s">
        <v>110</v>
      </c>
    </row>
    <row r="34" spans="1:8" x14ac:dyDescent="0.3">
      <c r="A34" s="1">
        <v>1</v>
      </c>
      <c r="B34" t="s">
        <v>93</v>
      </c>
      <c r="C34" t="s">
        <v>94</v>
      </c>
      <c r="E34" s="1" t="str">
        <f t="shared" ref="E34:E56" si="1">LEFT(B34,1)</f>
        <v>J</v>
      </c>
      <c r="G34" t="s">
        <v>12</v>
      </c>
      <c r="H34" t="s">
        <v>59</v>
      </c>
    </row>
    <row r="35" spans="1:8" x14ac:dyDescent="0.3">
      <c r="A35" s="1">
        <v>1</v>
      </c>
      <c r="B35" t="s">
        <v>88</v>
      </c>
      <c r="C35" t="s">
        <v>89</v>
      </c>
      <c r="E35" s="1" t="str">
        <f t="shared" si="1"/>
        <v>J</v>
      </c>
      <c r="G35" t="s">
        <v>12</v>
      </c>
      <c r="H35" t="s">
        <v>90</v>
      </c>
    </row>
    <row r="36" spans="1:8" x14ac:dyDescent="0.3">
      <c r="A36" s="1">
        <v>1</v>
      </c>
      <c r="B36" t="s">
        <v>66</v>
      </c>
      <c r="C36" t="s">
        <v>67</v>
      </c>
      <c r="E36" s="1" t="str">
        <f t="shared" si="1"/>
        <v>J</v>
      </c>
      <c r="G36" t="s">
        <v>12</v>
      </c>
      <c r="H36" t="s">
        <v>65</v>
      </c>
    </row>
    <row r="37" spans="1:8" x14ac:dyDescent="0.3">
      <c r="A37" s="1">
        <v>2</v>
      </c>
      <c r="B37" t="s">
        <v>74</v>
      </c>
      <c r="C37" t="s">
        <v>75</v>
      </c>
      <c r="E37" s="1" t="str">
        <f t="shared" si="1"/>
        <v>J</v>
      </c>
      <c r="G37" t="s">
        <v>12</v>
      </c>
      <c r="H37" t="s">
        <v>76</v>
      </c>
    </row>
    <row r="38" spans="1:8" x14ac:dyDescent="0.3">
      <c r="A38" s="1">
        <v>2</v>
      </c>
      <c r="B38" t="s">
        <v>71</v>
      </c>
      <c r="C38" t="s">
        <v>72</v>
      </c>
      <c r="E38" s="1" t="str">
        <f t="shared" si="1"/>
        <v>J</v>
      </c>
      <c r="G38" t="s">
        <v>12</v>
      </c>
      <c r="H38" t="s">
        <v>73</v>
      </c>
    </row>
    <row r="39" spans="1:8" x14ac:dyDescent="0.3">
      <c r="A39" s="1">
        <v>1</v>
      </c>
      <c r="B39" t="s">
        <v>60</v>
      </c>
      <c r="C39" t="s">
        <v>61</v>
      </c>
      <c r="E39" s="1" t="str">
        <f t="shared" si="1"/>
        <v>J</v>
      </c>
      <c r="G39" t="s">
        <v>12</v>
      </c>
      <c r="H39" t="s">
        <v>62</v>
      </c>
    </row>
    <row r="40" spans="1:8" x14ac:dyDescent="0.3">
      <c r="A40" s="1">
        <v>1</v>
      </c>
      <c r="B40" t="s">
        <v>68</v>
      </c>
      <c r="C40" t="s">
        <v>69</v>
      </c>
      <c r="E40" s="1" t="str">
        <f t="shared" si="1"/>
        <v>J</v>
      </c>
      <c r="G40" t="s">
        <v>12</v>
      </c>
      <c r="H40" t="s">
        <v>70</v>
      </c>
    </row>
    <row r="41" spans="1:8" x14ac:dyDescent="0.3">
      <c r="A41" s="1">
        <v>1</v>
      </c>
      <c r="B41" t="s">
        <v>95</v>
      </c>
      <c r="C41" t="s">
        <v>96</v>
      </c>
      <c r="E41" s="1" t="str">
        <f t="shared" si="1"/>
        <v>J</v>
      </c>
      <c r="G41" t="s">
        <v>12</v>
      </c>
      <c r="H41" t="s">
        <v>82</v>
      </c>
    </row>
    <row r="42" spans="1:8" x14ac:dyDescent="0.3">
      <c r="A42" s="1">
        <v>1</v>
      </c>
      <c r="B42" t="s">
        <v>80</v>
      </c>
      <c r="C42" t="s">
        <v>81</v>
      </c>
      <c r="E42" s="1" t="str">
        <f t="shared" si="1"/>
        <v>J</v>
      </c>
      <c r="G42" t="s">
        <v>12</v>
      </c>
      <c r="H42" t="s">
        <v>82</v>
      </c>
    </row>
    <row r="43" spans="1:8" x14ac:dyDescent="0.3">
      <c r="A43" s="1">
        <v>1</v>
      </c>
      <c r="B43" t="s">
        <v>63</v>
      </c>
      <c r="C43" t="s">
        <v>64</v>
      </c>
      <c r="E43" s="1" t="str">
        <f t="shared" si="1"/>
        <v>J</v>
      </c>
      <c r="G43" t="s">
        <v>12</v>
      </c>
      <c r="H43" t="s">
        <v>65</v>
      </c>
    </row>
    <row r="44" spans="1:8" x14ac:dyDescent="0.3">
      <c r="A44" s="1">
        <v>1</v>
      </c>
      <c r="B44" t="s">
        <v>106</v>
      </c>
      <c r="C44" t="s">
        <v>107</v>
      </c>
      <c r="E44" s="1" t="str">
        <f t="shared" si="1"/>
        <v>J</v>
      </c>
      <c r="H44" t="s">
        <v>99</v>
      </c>
    </row>
    <row r="45" spans="1:8" x14ac:dyDescent="0.3">
      <c r="A45" s="1">
        <v>1</v>
      </c>
      <c r="B45" t="s">
        <v>102</v>
      </c>
      <c r="C45" t="s">
        <v>103</v>
      </c>
      <c r="E45" s="1" t="str">
        <f t="shared" si="1"/>
        <v>J</v>
      </c>
      <c r="H45" t="s">
        <v>99</v>
      </c>
    </row>
    <row r="46" spans="1:8" x14ac:dyDescent="0.3">
      <c r="A46" s="1">
        <v>1</v>
      </c>
      <c r="B46" t="s">
        <v>97</v>
      </c>
      <c r="C46" t="s">
        <v>98</v>
      </c>
      <c r="E46" s="1" t="str">
        <f t="shared" si="1"/>
        <v>J</v>
      </c>
      <c r="H46" t="s">
        <v>99</v>
      </c>
    </row>
    <row r="47" spans="1:8" x14ac:dyDescent="0.3">
      <c r="A47" s="1">
        <v>1</v>
      </c>
      <c r="B47" t="s">
        <v>104</v>
      </c>
      <c r="C47" t="s">
        <v>105</v>
      </c>
      <c r="E47" s="1" t="str">
        <f t="shared" si="1"/>
        <v>J</v>
      </c>
      <c r="H47" t="s">
        <v>99</v>
      </c>
    </row>
    <row r="48" spans="1:8" x14ac:dyDescent="0.3">
      <c r="A48" s="1">
        <v>1</v>
      </c>
      <c r="B48" t="s">
        <v>100</v>
      </c>
      <c r="C48" t="s">
        <v>101</v>
      </c>
      <c r="E48" s="1" t="str">
        <f t="shared" si="1"/>
        <v>J</v>
      </c>
      <c r="H48" t="s">
        <v>99</v>
      </c>
    </row>
    <row r="49" spans="1:8" x14ac:dyDescent="0.3">
      <c r="A49" s="1">
        <v>3</v>
      </c>
      <c r="B49" t="s">
        <v>57</v>
      </c>
      <c r="C49" t="s">
        <v>58</v>
      </c>
      <c r="E49" s="1" t="str">
        <f t="shared" si="1"/>
        <v>J</v>
      </c>
      <c r="G49" t="s">
        <v>12</v>
      </c>
      <c r="H49" t="s">
        <v>59</v>
      </c>
    </row>
    <row r="50" spans="1:8" x14ac:dyDescent="0.3">
      <c r="A50" s="1">
        <v>2</v>
      </c>
      <c r="B50" t="s">
        <v>53</v>
      </c>
      <c r="C50" t="s">
        <v>54</v>
      </c>
      <c r="E50" s="1" t="str">
        <f t="shared" si="1"/>
        <v>J</v>
      </c>
      <c r="F50" t="s">
        <v>238</v>
      </c>
      <c r="G50" t="s">
        <v>55</v>
      </c>
      <c r="H50" t="s">
        <v>56</v>
      </c>
    </row>
    <row r="51" spans="1:8" x14ac:dyDescent="0.3">
      <c r="A51" s="1">
        <v>1</v>
      </c>
      <c r="B51" t="s">
        <v>91</v>
      </c>
      <c r="C51" t="s">
        <v>92</v>
      </c>
      <c r="E51" s="1" t="str">
        <f t="shared" si="1"/>
        <v>J</v>
      </c>
      <c r="G51" t="s">
        <v>12</v>
      </c>
      <c r="H51" t="s">
        <v>79</v>
      </c>
    </row>
    <row r="52" spans="1:8" x14ac:dyDescent="0.3">
      <c r="A52" s="1">
        <v>1</v>
      </c>
      <c r="B52" t="s">
        <v>77</v>
      </c>
      <c r="C52" t="s">
        <v>78</v>
      </c>
      <c r="E52" s="1" t="str">
        <f t="shared" si="1"/>
        <v>J</v>
      </c>
      <c r="G52" t="s">
        <v>12</v>
      </c>
      <c r="H52" t="s">
        <v>79</v>
      </c>
    </row>
    <row r="53" spans="1:8" x14ac:dyDescent="0.3">
      <c r="A53" s="1">
        <v>1</v>
      </c>
      <c r="B53" t="s">
        <v>108</v>
      </c>
      <c r="C53" t="s">
        <v>109</v>
      </c>
      <c r="E53" s="1" t="str">
        <f t="shared" si="1"/>
        <v>J</v>
      </c>
      <c r="H53" t="s">
        <v>110</v>
      </c>
    </row>
    <row r="54" spans="1:8" x14ac:dyDescent="0.3">
      <c r="A54" s="1">
        <v>1</v>
      </c>
      <c r="B54" t="s">
        <v>142</v>
      </c>
      <c r="C54" t="s">
        <v>143</v>
      </c>
      <c r="E54" s="1" t="str">
        <f t="shared" si="1"/>
        <v>R</v>
      </c>
      <c r="H54" t="s">
        <v>144</v>
      </c>
    </row>
    <row r="55" spans="1:8" x14ac:dyDescent="0.3">
      <c r="A55" s="1">
        <v>1</v>
      </c>
      <c r="B55" t="s">
        <v>153</v>
      </c>
      <c r="C55" t="s">
        <v>154</v>
      </c>
      <c r="E55" s="1" t="str">
        <f t="shared" si="1"/>
        <v>T</v>
      </c>
      <c r="G55" t="s">
        <v>12</v>
      </c>
      <c r="H55" t="s">
        <v>155</v>
      </c>
    </row>
    <row r="56" spans="1:8" x14ac:dyDescent="0.3">
      <c r="A56" s="1">
        <v>1</v>
      </c>
      <c r="B56" t="s">
        <v>156</v>
      </c>
      <c r="C56" t="s">
        <v>157</v>
      </c>
      <c r="E56" s="1" t="str">
        <f t="shared" si="1"/>
        <v>T</v>
      </c>
      <c r="G56" t="s">
        <v>12</v>
      </c>
      <c r="H56" t="s">
        <v>155</v>
      </c>
    </row>
  </sheetData>
  <sortState xmlns:xlrd2="http://schemas.microsoft.com/office/spreadsheetml/2017/richdata2" ref="A2:I56">
    <sortCondition ref="D2:D56"/>
    <sortCondition ref="E2:E56"/>
    <sortCondition ref="C2:C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0861-3F1F-4DFC-805D-47F5F0BCB214}">
  <dimension ref="B1:I70"/>
  <sheetViews>
    <sheetView tabSelected="1" workbookViewId="0">
      <selection activeCell="C33" sqref="C33:D33"/>
    </sheetView>
  </sheetViews>
  <sheetFormatPr defaultRowHeight="14.4" x14ac:dyDescent="0.3"/>
  <cols>
    <col min="2" max="2" width="22.44140625" customWidth="1"/>
    <col min="3" max="3" width="25.6640625" customWidth="1"/>
    <col min="4" max="4" width="127" customWidth="1"/>
    <col min="8" max="8" width="17.6640625" customWidth="1"/>
    <col min="9" max="9" width="12.6640625" customWidth="1"/>
  </cols>
  <sheetData>
    <row r="1" spans="2:9" x14ac:dyDescent="0.3"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 spans="2:9" x14ac:dyDescent="0.3">
      <c r="B2" t="s">
        <v>178</v>
      </c>
      <c r="C2" t="s">
        <v>40</v>
      </c>
      <c r="D2" t="s">
        <v>179</v>
      </c>
      <c r="E2">
        <v>20</v>
      </c>
      <c r="F2" s="4">
        <v>1.66</v>
      </c>
      <c r="G2" s="4">
        <v>1.66</v>
      </c>
      <c r="H2" t="s">
        <v>180</v>
      </c>
      <c r="I2" s="5">
        <v>45635</v>
      </c>
    </row>
    <row r="3" spans="2:9" x14ac:dyDescent="0.3">
      <c r="B3" t="s">
        <v>181</v>
      </c>
      <c r="C3" t="s">
        <v>182</v>
      </c>
      <c r="D3" t="s">
        <v>183</v>
      </c>
      <c r="E3">
        <v>100</v>
      </c>
      <c r="F3" s="4">
        <v>3.5000000000000003E-2</v>
      </c>
      <c r="G3" s="4">
        <v>3.5000000000000003E-2</v>
      </c>
      <c r="H3" t="s">
        <v>184</v>
      </c>
      <c r="I3" s="5">
        <v>45635</v>
      </c>
    </row>
    <row r="4" spans="2:9" x14ac:dyDescent="0.3">
      <c r="B4" t="s">
        <v>185</v>
      </c>
      <c r="C4" t="s">
        <v>186</v>
      </c>
      <c r="D4" t="s">
        <v>187</v>
      </c>
      <c r="E4">
        <v>100</v>
      </c>
      <c r="F4" s="4">
        <v>3.4000000000000002E-2</v>
      </c>
      <c r="G4" s="4">
        <v>3.4000000000000002E-2</v>
      </c>
      <c r="H4" t="s">
        <v>184</v>
      </c>
      <c r="I4" s="5">
        <v>45635</v>
      </c>
    </row>
    <row r="5" spans="2:9" x14ac:dyDescent="0.3">
      <c r="B5" t="s">
        <v>188</v>
      </c>
      <c r="C5" t="s">
        <v>189</v>
      </c>
      <c r="D5" t="s">
        <v>190</v>
      </c>
      <c r="E5">
        <v>50</v>
      </c>
      <c r="F5" s="4">
        <v>0.106</v>
      </c>
      <c r="G5" s="4">
        <v>0.106</v>
      </c>
      <c r="H5" t="s">
        <v>191</v>
      </c>
      <c r="I5" s="5">
        <v>45635</v>
      </c>
    </row>
    <row r="6" spans="2:9" x14ac:dyDescent="0.3">
      <c r="B6" t="s">
        <v>192</v>
      </c>
      <c r="C6" t="s">
        <v>193</v>
      </c>
      <c r="D6" t="s">
        <v>194</v>
      </c>
      <c r="E6">
        <v>100</v>
      </c>
      <c r="F6" s="4">
        <v>8.3000000000000004E-2</v>
      </c>
      <c r="G6" s="4">
        <v>8.3000000000000004E-2</v>
      </c>
      <c r="H6" t="s">
        <v>184</v>
      </c>
      <c r="I6" s="5">
        <v>45635</v>
      </c>
    </row>
    <row r="7" spans="2:9" x14ac:dyDescent="0.3">
      <c r="B7" t="s">
        <v>195</v>
      </c>
      <c r="C7" t="s">
        <v>196</v>
      </c>
      <c r="D7" t="s">
        <v>197</v>
      </c>
      <c r="E7">
        <v>100</v>
      </c>
      <c r="F7" s="4">
        <v>6.0999999999999999E-2</v>
      </c>
      <c r="G7" s="4">
        <v>6.0999999999999999E-2</v>
      </c>
      <c r="H7" t="s">
        <v>184</v>
      </c>
      <c r="I7" s="5">
        <v>45635</v>
      </c>
    </row>
    <row r="8" spans="2:9" x14ac:dyDescent="0.3">
      <c r="B8" t="s">
        <v>198</v>
      </c>
      <c r="C8" t="s">
        <v>199</v>
      </c>
      <c r="D8" t="s">
        <v>200</v>
      </c>
      <c r="E8">
        <v>100</v>
      </c>
      <c r="F8" s="4">
        <v>6.7000000000000004E-2</v>
      </c>
      <c r="G8" s="4">
        <v>6.7000000000000004E-2</v>
      </c>
      <c r="H8" t="s">
        <v>184</v>
      </c>
      <c r="I8" s="5">
        <v>45635</v>
      </c>
    </row>
    <row r="9" spans="2:9" x14ac:dyDescent="0.3">
      <c r="B9" t="s">
        <v>205</v>
      </c>
      <c r="C9" t="s">
        <v>206</v>
      </c>
      <c r="D9" t="s">
        <v>207</v>
      </c>
      <c r="E9">
        <v>10</v>
      </c>
      <c r="F9" s="4">
        <v>1.96</v>
      </c>
      <c r="G9" s="4">
        <v>1.96</v>
      </c>
      <c r="H9" t="s">
        <v>204</v>
      </c>
      <c r="I9" s="5">
        <v>45621</v>
      </c>
    </row>
    <row r="10" spans="2:9" x14ac:dyDescent="0.3">
      <c r="B10" t="s">
        <v>214</v>
      </c>
      <c r="C10" t="s">
        <v>114</v>
      </c>
      <c r="D10" t="s">
        <v>215</v>
      </c>
      <c r="E10" s="6">
        <v>10</v>
      </c>
      <c r="F10" s="4">
        <v>0.17100000000000001</v>
      </c>
      <c r="G10" s="4">
        <v>0.17100000000000001</v>
      </c>
      <c r="H10" t="s">
        <v>204</v>
      </c>
      <c r="I10" s="5">
        <v>45621</v>
      </c>
    </row>
    <row r="11" spans="2:9" x14ac:dyDescent="0.3">
      <c r="B11" t="s">
        <v>216</v>
      </c>
      <c r="C11" t="s">
        <v>118</v>
      </c>
      <c r="D11" t="s">
        <v>217</v>
      </c>
      <c r="E11" s="6">
        <v>10</v>
      </c>
      <c r="F11" s="4">
        <v>0.17199999999999999</v>
      </c>
      <c r="G11" s="4">
        <v>0.17199999999999999</v>
      </c>
      <c r="H11" t="s">
        <v>204</v>
      </c>
      <c r="I11" s="5">
        <v>45621</v>
      </c>
    </row>
    <row r="12" spans="2:9" x14ac:dyDescent="0.3">
      <c r="B12" t="s">
        <v>218</v>
      </c>
      <c r="C12" t="s">
        <v>219</v>
      </c>
      <c r="D12" t="s">
        <v>220</v>
      </c>
      <c r="E12" s="6">
        <v>10</v>
      </c>
      <c r="F12" s="4">
        <v>0.221</v>
      </c>
      <c r="G12" s="4">
        <v>0.221</v>
      </c>
      <c r="H12" t="s">
        <v>204</v>
      </c>
      <c r="I12" s="5">
        <v>45621</v>
      </c>
    </row>
    <row r="13" spans="2:9" x14ac:dyDescent="0.3">
      <c r="B13" t="s">
        <v>221</v>
      </c>
      <c r="C13" t="s">
        <v>222</v>
      </c>
      <c r="D13" t="s">
        <v>223</v>
      </c>
      <c r="E13" s="6">
        <v>20</v>
      </c>
      <c r="F13" s="4">
        <v>0.27800000000000002</v>
      </c>
      <c r="G13" s="4">
        <v>0.27800000000000002</v>
      </c>
      <c r="H13" t="s">
        <v>180</v>
      </c>
      <c r="I13" s="5">
        <v>45621</v>
      </c>
    </row>
    <row r="14" spans="2:9" x14ac:dyDescent="0.3">
      <c r="B14" t="s">
        <v>224</v>
      </c>
      <c r="C14" t="s">
        <v>225</v>
      </c>
      <c r="D14" t="s">
        <v>226</v>
      </c>
      <c r="E14" s="6">
        <v>10</v>
      </c>
      <c r="F14" s="4">
        <v>0.27800000000000002</v>
      </c>
      <c r="G14" s="4">
        <v>0.27800000000000002</v>
      </c>
      <c r="H14" t="s">
        <v>204</v>
      </c>
      <c r="I14" s="5">
        <v>45621</v>
      </c>
    </row>
    <row r="15" spans="2:9" x14ac:dyDescent="0.3">
      <c r="B15" t="s">
        <v>230</v>
      </c>
      <c r="C15" t="s">
        <v>231</v>
      </c>
      <c r="D15" t="s">
        <v>232</v>
      </c>
      <c r="E15">
        <v>60</v>
      </c>
      <c r="F15" s="4">
        <v>5.8000000000000003E-2</v>
      </c>
      <c r="G15" s="4">
        <v>5.8000000000000003E-2</v>
      </c>
      <c r="H15" t="s">
        <v>233</v>
      </c>
      <c r="I15" s="5">
        <v>45621</v>
      </c>
    </row>
    <row r="16" spans="2:9" x14ac:dyDescent="0.3">
      <c r="B16" t="s">
        <v>237</v>
      </c>
      <c r="C16" t="s">
        <v>238</v>
      </c>
      <c r="D16" t="s">
        <v>239</v>
      </c>
      <c r="E16">
        <v>26</v>
      </c>
      <c r="F16" s="4">
        <v>0.499</v>
      </c>
      <c r="G16" s="4">
        <v>0.499</v>
      </c>
      <c r="H16" t="s">
        <v>240</v>
      </c>
      <c r="I16" s="5">
        <v>45621</v>
      </c>
    </row>
    <row r="17" spans="2:9" x14ac:dyDescent="0.3">
      <c r="B17" t="s">
        <v>241</v>
      </c>
      <c r="C17" t="s">
        <v>120</v>
      </c>
      <c r="D17" t="s">
        <v>242</v>
      </c>
      <c r="E17">
        <v>50</v>
      </c>
      <c r="F17" s="4">
        <v>0.10100000000000001</v>
      </c>
      <c r="G17" s="4">
        <v>0.10100000000000001</v>
      </c>
      <c r="H17" t="s">
        <v>191</v>
      </c>
      <c r="I17" s="5">
        <v>45621</v>
      </c>
    </row>
    <row r="18" spans="2:9" x14ac:dyDescent="0.3">
      <c r="B18" t="s">
        <v>243</v>
      </c>
      <c r="C18" t="s">
        <v>28</v>
      </c>
      <c r="D18" t="s">
        <v>244</v>
      </c>
      <c r="E18">
        <v>100</v>
      </c>
      <c r="F18" s="4">
        <v>2.5000000000000001E-2</v>
      </c>
      <c r="G18" s="4">
        <v>2.5000000000000001E-2</v>
      </c>
      <c r="H18" t="s">
        <v>184</v>
      </c>
      <c r="I18" s="5">
        <v>45621</v>
      </c>
    </row>
    <row r="19" spans="2:9" x14ac:dyDescent="0.3">
      <c r="B19" t="s">
        <v>245</v>
      </c>
      <c r="C19" t="s">
        <v>36</v>
      </c>
      <c r="D19" t="s">
        <v>246</v>
      </c>
      <c r="E19" s="6">
        <v>20</v>
      </c>
      <c r="F19" s="4">
        <v>0.121</v>
      </c>
      <c r="G19" s="4">
        <v>0.121</v>
      </c>
      <c r="H19" t="s">
        <v>180</v>
      </c>
      <c r="I19" s="5">
        <v>45621</v>
      </c>
    </row>
    <row r="20" spans="2:9" x14ac:dyDescent="0.3">
      <c r="B20" t="s">
        <v>247</v>
      </c>
      <c r="C20" t="s">
        <v>248</v>
      </c>
      <c r="D20" t="s">
        <v>249</v>
      </c>
      <c r="E20">
        <v>50</v>
      </c>
      <c r="F20" s="4">
        <v>0.13600000000000001</v>
      </c>
      <c r="G20" s="4">
        <v>0.13600000000000001</v>
      </c>
      <c r="H20" t="s">
        <v>191</v>
      </c>
      <c r="I20" s="5">
        <v>45621</v>
      </c>
    </row>
    <row r="21" spans="2:9" x14ac:dyDescent="0.3">
      <c r="B21" t="s">
        <v>250</v>
      </c>
      <c r="C21" t="s">
        <v>251</v>
      </c>
      <c r="D21" t="s">
        <v>252</v>
      </c>
      <c r="E21">
        <v>10</v>
      </c>
      <c r="F21" s="4">
        <v>0.36299999999999999</v>
      </c>
      <c r="G21" s="4">
        <v>0.36299999999999999</v>
      </c>
      <c r="H21" t="s">
        <v>204</v>
      </c>
      <c r="I21" s="5">
        <v>45621</v>
      </c>
    </row>
    <row r="22" spans="2:9" x14ac:dyDescent="0.3">
      <c r="B22" t="s">
        <v>253</v>
      </c>
      <c r="C22" t="s">
        <v>254</v>
      </c>
      <c r="D22" t="s">
        <v>255</v>
      </c>
      <c r="E22">
        <v>100</v>
      </c>
      <c r="F22" s="4">
        <v>6.6000000000000003E-2</v>
      </c>
      <c r="G22" s="4">
        <v>6.6000000000000003E-2</v>
      </c>
      <c r="H22" t="s">
        <v>184</v>
      </c>
      <c r="I22" s="5">
        <v>45621</v>
      </c>
    </row>
    <row r="23" spans="2:9" x14ac:dyDescent="0.3">
      <c r="B23" t="s">
        <v>256</v>
      </c>
      <c r="C23" t="s">
        <v>257</v>
      </c>
      <c r="D23" t="s">
        <v>258</v>
      </c>
      <c r="E23">
        <v>100</v>
      </c>
      <c r="F23" s="4">
        <v>3.1E-2</v>
      </c>
      <c r="G23" s="4">
        <v>3.1E-2</v>
      </c>
      <c r="H23" t="s">
        <v>184</v>
      </c>
      <c r="I23" s="5">
        <v>45621</v>
      </c>
    </row>
    <row r="24" spans="2:9" x14ac:dyDescent="0.3">
      <c r="B24" t="s">
        <v>259</v>
      </c>
      <c r="C24" t="s">
        <v>260</v>
      </c>
      <c r="D24" t="s">
        <v>261</v>
      </c>
      <c r="E24">
        <v>50</v>
      </c>
      <c r="F24" s="4">
        <v>0.18099999999999999</v>
      </c>
      <c r="G24" s="4">
        <v>0.18099999999999999</v>
      </c>
      <c r="H24" t="s">
        <v>191</v>
      </c>
      <c r="I24" s="5">
        <v>45621</v>
      </c>
    </row>
    <row r="25" spans="2:9" x14ac:dyDescent="0.3">
      <c r="B25" t="s">
        <v>262</v>
      </c>
      <c r="C25" t="s">
        <v>263</v>
      </c>
      <c r="D25" t="s">
        <v>264</v>
      </c>
      <c r="E25">
        <v>100</v>
      </c>
      <c r="F25" s="4">
        <v>3.9E-2</v>
      </c>
      <c r="G25" s="4">
        <v>3.9E-2</v>
      </c>
      <c r="H25" t="s">
        <v>184</v>
      </c>
      <c r="I25" s="5">
        <v>45621</v>
      </c>
    </row>
    <row r="26" spans="2:9" x14ac:dyDescent="0.3">
      <c r="B26" t="s">
        <v>265</v>
      </c>
      <c r="C26" t="s">
        <v>266</v>
      </c>
      <c r="D26" t="s">
        <v>267</v>
      </c>
      <c r="E26">
        <v>10</v>
      </c>
      <c r="F26" s="4">
        <v>0.3</v>
      </c>
      <c r="G26" s="4">
        <v>0.3</v>
      </c>
      <c r="H26" t="s">
        <v>204</v>
      </c>
      <c r="I26" s="5">
        <v>45621</v>
      </c>
    </row>
    <row r="29" spans="2:9" x14ac:dyDescent="0.3"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289</v>
      </c>
    </row>
    <row r="30" spans="2:9" x14ac:dyDescent="0.3">
      <c r="F30" t="s">
        <v>288</v>
      </c>
      <c r="G30" t="s">
        <v>288</v>
      </c>
    </row>
    <row r="32" spans="2:9" x14ac:dyDescent="0.3">
      <c r="B32" t="s">
        <v>302</v>
      </c>
      <c r="C32" t="s">
        <v>273</v>
      </c>
      <c r="D32" t="s">
        <v>303</v>
      </c>
      <c r="E32">
        <v>100</v>
      </c>
      <c r="F32">
        <v>4.8000000000000001E-2</v>
      </c>
      <c r="G32">
        <v>4.8</v>
      </c>
    </row>
    <row r="33" spans="2:7" x14ac:dyDescent="0.3">
      <c r="B33" t="s">
        <v>290</v>
      </c>
      <c r="C33" t="s">
        <v>291</v>
      </c>
      <c r="D33" t="s">
        <v>292</v>
      </c>
      <c r="E33">
        <v>1</v>
      </c>
      <c r="F33">
        <v>4.21</v>
      </c>
      <c r="G33">
        <v>4.21</v>
      </c>
    </row>
    <row r="34" spans="2:7" x14ac:dyDescent="0.3">
      <c r="B34" t="s">
        <v>296</v>
      </c>
      <c r="C34" t="s">
        <v>297</v>
      </c>
      <c r="D34" t="s">
        <v>298</v>
      </c>
      <c r="E34">
        <v>5</v>
      </c>
      <c r="F34">
        <v>2.34</v>
      </c>
      <c r="G34">
        <v>11.7</v>
      </c>
    </row>
    <row r="35" spans="2:7" x14ac:dyDescent="0.3">
      <c r="B35" t="s">
        <v>307</v>
      </c>
      <c r="C35" t="s">
        <v>308</v>
      </c>
      <c r="D35" t="s">
        <v>306</v>
      </c>
      <c r="E35">
        <v>4</v>
      </c>
      <c r="F35">
        <v>1.38</v>
      </c>
      <c r="G35">
        <v>5.52</v>
      </c>
    </row>
    <row r="36" spans="2:7" x14ac:dyDescent="0.3">
      <c r="B36" t="s">
        <v>304</v>
      </c>
      <c r="C36" t="s">
        <v>305</v>
      </c>
      <c r="D36" t="s">
        <v>306</v>
      </c>
      <c r="E36">
        <v>10</v>
      </c>
      <c r="F36">
        <v>1.29</v>
      </c>
      <c r="G36">
        <v>12.9</v>
      </c>
    </row>
    <row r="37" spans="2:7" x14ac:dyDescent="0.3">
      <c r="B37" t="s">
        <v>327</v>
      </c>
      <c r="C37" t="s">
        <v>328</v>
      </c>
      <c r="D37" t="s">
        <v>329</v>
      </c>
      <c r="E37">
        <v>10</v>
      </c>
      <c r="F37">
        <v>0.29399999999999998</v>
      </c>
      <c r="G37">
        <v>2.94</v>
      </c>
    </row>
    <row r="38" spans="2:7" x14ac:dyDescent="0.3">
      <c r="B38" t="s">
        <v>315</v>
      </c>
      <c r="C38" t="s">
        <v>316</v>
      </c>
      <c r="D38" t="s">
        <v>317</v>
      </c>
      <c r="E38">
        <v>100</v>
      </c>
      <c r="F38">
        <v>7.0999999999999994E-2</v>
      </c>
      <c r="G38">
        <v>7.1</v>
      </c>
    </row>
    <row r="39" spans="2:7" x14ac:dyDescent="0.3">
      <c r="B39" t="s">
        <v>309</v>
      </c>
      <c r="C39" t="s">
        <v>310</v>
      </c>
      <c r="D39" t="s">
        <v>311</v>
      </c>
      <c r="E39">
        <v>100</v>
      </c>
      <c r="F39">
        <v>3.4000000000000002E-2</v>
      </c>
      <c r="G39">
        <v>3.4</v>
      </c>
    </row>
    <row r="40" spans="2:7" x14ac:dyDescent="0.3">
      <c r="B40" t="s">
        <v>312</v>
      </c>
      <c r="C40" t="s">
        <v>313</v>
      </c>
      <c r="D40" t="s">
        <v>314</v>
      </c>
      <c r="E40">
        <v>100</v>
      </c>
      <c r="F40">
        <v>3.4000000000000002E-2</v>
      </c>
      <c r="G40">
        <v>3.4</v>
      </c>
    </row>
    <row r="41" spans="2:7" x14ac:dyDescent="0.3">
      <c r="B41" t="s">
        <v>321</v>
      </c>
      <c r="C41" t="s">
        <v>322</v>
      </c>
      <c r="D41" t="s">
        <v>323</v>
      </c>
      <c r="E41">
        <v>1</v>
      </c>
      <c r="F41">
        <v>23.96</v>
      </c>
      <c r="G41">
        <v>23.96</v>
      </c>
    </row>
    <row r="42" spans="2:7" x14ac:dyDescent="0.3">
      <c r="B42" t="s">
        <v>318</v>
      </c>
      <c r="C42" t="s">
        <v>319</v>
      </c>
      <c r="D42" t="s">
        <v>320</v>
      </c>
      <c r="E42">
        <v>1</v>
      </c>
      <c r="F42">
        <v>34.79</v>
      </c>
      <c r="G42">
        <v>34.79</v>
      </c>
    </row>
    <row r="43" spans="2:7" x14ac:dyDescent="0.3">
      <c r="B43" t="s">
        <v>293</v>
      </c>
      <c r="C43" t="s">
        <v>294</v>
      </c>
      <c r="D43" t="s">
        <v>295</v>
      </c>
      <c r="E43">
        <v>10</v>
      </c>
      <c r="F43">
        <v>0.74399999999999999</v>
      </c>
      <c r="G43">
        <v>7.44</v>
      </c>
    </row>
    <row r="44" spans="2:7" x14ac:dyDescent="0.3">
      <c r="B44" t="s">
        <v>299</v>
      </c>
      <c r="C44" t="s">
        <v>300</v>
      </c>
      <c r="D44" t="s">
        <v>301</v>
      </c>
      <c r="E44">
        <v>100</v>
      </c>
      <c r="F44">
        <v>5.7000000000000002E-2</v>
      </c>
      <c r="G44">
        <v>5.7</v>
      </c>
    </row>
    <row r="45" spans="2:7" x14ac:dyDescent="0.3">
      <c r="B45" t="s">
        <v>324</v>
      </c>
      <c r="C45" t="s">
        <v>325</v>
      </c>
      <c r="D45" t="s">
        <v>326</v>
      </c>
      <c r="E45">
        <v>5</v>
      </c>
      <c r="F45">
        <v>0.43</v>
      </c>
      <c r="G45">
        <v>2.15</v>
      </c>
    </row>
    <row r="51" spans="2:9" x14ac:dyDescent="0.3">
      <c r="B51" t="s">
        <v>201</v>
      </c>
      <c r="C51" t="s">
        <v>202</v>
      </c>
      <c r="D51" t="s">
        <v>203</v>
      </c>
      <c r="E51">
        <v>10</v>
      </c>
      <c r="F51" s="4">
        <v>1.23</v>
      </c>
      <c r="G51" s="4">
        <v>1.23</v>
      </c>
      <c r="H51" t="s">
        <v>204</v>
      </c>
      <c r="I51" s="5">
        <v>45621</v>
      </c>
    </row>
    <row r="53" spans="2:9" x14ac:dyDescent="0.3">
      <c r="B53" t="s">
        <v>208</v>
      </c>
      <c r="C53" t="s">
        <v>209</v>
      </c>
      <c r="D53" t="s">
        <v>210</v>
      </c>
      <c r="E53">
        <v>10</v>
      </c>
      <c r="F53" s="4">
        <v>0.21299999999999999</v>
      </c>
      <c r="G53" s="4">
        <v>0.21299999999999999</v>
      </c>
      <c r="H53" t="s">
        <v>204</v>
      </c>
      <c r="I53" s="5">
        <v>45621</v>
      </c>
    </row>
    <row r="54" spans="2:9" x14ac:dyDescent="0.3">
      <c r="B54" t="s">
        <v>234</v>
      </c>
      <c r="C54" t="s">
        <v>235</v>
      </c>
      <c r="D54" t="s">
        <v>236</v>
      </c>
      <c r="E54">
        <v>10</v>
      </c>
      <c r="F54" s="4">
        <v>2.2400000000000002</v>
      </c>
      <c r="G54" s="4">
        <v>2.2400000000000002</v>
      </c>
      <c r="H54" t="s">
        <v>204</v>
      </c>
      <c r="I54" s="5">
        <v>45621</v>
      </c>
    </row>
    <row r="55" spans="2:9" x14ac:dyDescent="0.3">
      <c r="B55" t="s">
        <v>227</v>
      </c>
      <c r="C55" t="s">
        <v>228</v>
      </c>
      <c r="D55" t="s">
        <v>229</v>
      </c>
      <c r="E55">
        <v>20</v>
      </c>
      <c r="F55" s="4">
        <v>0.129</v>
      </c>
      <c r="G55" s="4">
        <v>0.129</v>
      </c>
      <c r="H55" t="s">
        <v>180</v>
      </c>
      <c r="I55" s="5">
        <v>45621</v>
      </c>
    </row>
    <row r="57" spans="2:9" s="6" customFormat="1" x14ac:dyDescent="0.3">
      <c r="B57" s="6" t="s">
        <v>211</v>
      </c>
      <c r="C57" s="6" t="s">
        <v>212</v>
      </c>
      <c r="D57" s="6" t="s">
        <v>213</v>
      </c>
      <c r="E57" s="6">
        <v>10</v>
      </c>
      <c r="F57" s="7">
        <v>1.66</v>
      </c>
      <c r="G57" s="7">
        <v>1.66</v>
      </c>
      <c r="H57" s="6" t="s">
        <v>204</v>
      </c>
      <c r="I57" s="8">
        <v>45621</v>
      </c>
    </row>
    <row r="62" spans="2:9" x14ac:dyDescent="0.3">
      <c r="D62" t="s">
        <v>268</v>
      </c>
    </row>
    <row r="70" spans="3:3" x14ac:dyDescent="0.3">
      <c r="C70" s="9"/>
    </row>
  </sheetData>
  <sortState xmlns:xlrd2="http://schemas.microsoft.com/office/spreadsheetml/2017/richdata2" ref="B32:G84">
    <sortCondition ref="B32:B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LCC-Pico-Stepper_v2_4</vt:lpstr>
      <vt:lpstr>LCC-Pico-Stepper_v2_4B</vt:lpstr>
      <vt:lpstr>LCC-Pico-Stepper_v2_4C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Attic</dc:creator>
  <cp:lastModifiedBy>Bob Gamble</cp:lastModifiedBy>
  <dcterms:created xsi:type="dcterms:W3CDTF">2024-12-21T16:15:09Z</dcterms:created>
  <dcterms:modified xsi:type="dcterms:W3CDTF">2025-01-22T15:32:40Z</dcterms:modified>
</cp:coreProperties>
</file>